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บริหารเข้าประชุม ไตร 1-2" sheetId="1" r:id="rId4"/>
    <sheet state="visible" name="1.ยุทธเข้าประชุม ไตร 1-2" sheetId="2" r:id="rId5"/>
    <sheet state="visible" name="1.ยุทธเข้าประชุม ไตร 3-4" sheetId="3" r:id="rId6"/>
    <sheet state="visible" name="งบยุทธจังหวัดจัดสรรกรมฯ ไตร 3-4" sheetId="4" r:id="rId7"/>
    <sheet state="visible" name="ชีต17" sheetId="5" r:id="rId8"/>
    <sheet state="visible" name="จปฐ" sheetId="6" r:id="rId9"/>
    <sheet state="visible" name="ประเมินที่ 1 (1 ตุลาคม 2567 - 3" sheetId="7" r:id="rId10"/>
    <sheet state="visible" name="จัดเก็บจปฐ" sheetId="8" r:id="rId11"/>
    <sheet state="visible" name="รายละเอียดแนบท้าย (ส่งใช้คืนเงิ" sheetId="9" r:id="rId12"/>
    <sheet state="visible" name="โคกหนองนา" sheetId="10" r:id="rId13"/>
    <sheet state="visible" name="งบจังหวัดงบกลุ่มจังหวัด ไตร 3-4" sheetId="11" r:id="rId14"/>
    <sheet state="visible" name="บริหารเข้าประชุม ไตร 3-4" sheetId="12" r:id="rId15"/>
    <sheet state="visible" name="บริหารเข้าประชุม ไตร 4" sheetId="13" r:id="rId16"/>
    <sheet state="visible" name="งบจังหวัดงบกลุ่มจังหวัด" sheetId="14" r:id="rId17"/>
  </sheets>
  <externalReferences>
    <externalReference r:id="rId18"/>
  </externalReferences>
  <definedNames/>
  <calcPr/>
  <extLst>
    <ext uri="GoogleSheetsCustomDataVersion2">
      <go:sheetsCustomData xmlns:go="http://customooxmlschemas.google.com/" r:id="rId19" roundtripDataChecksum="wJBg6G+6GU85An8J+45675g197BrfXvyW0HxAILsGYE="/>
    </ext>
  </extLst>
</workbook>
</file>

<file path=xl/sharedStrings.xml><?xml version="1.0" encoding="utf-8"?>
<sst xmlns="http://schemas.openxmlformats.org/spreadsheetml/2006/main" count="2473" uniqueCount="369">
  <si>
    <t>รายละเอียดตามแผนการปฏิบัติงานและแผนการใช้จ่ายงบประมาณ ประจำปีงบประมาณ พ.ศ. 2569  (ไตรมาส 1-2)</t>
  </si>
  <si>
    <t>ตารางแสดงรายการผลการเบิกจ่ายและใช้จ่ายงบประมาณ ประจำปีงบประมาณ พ.ศ. 2569</t>
  </si>
  <si>
    <t>ข้อมูล ณ วันที่ 20 มีนาคม 2569 เวลา 16.30 น.</t>
  </si>
  <si>
    <t>(งบบริหาร) ข้อมูล ณ วันที่  20 ตุลาคม 2568 เวลา 16.30 น.</t>
  </si>
  <si>
    <t>ที่</t>
  </si>
  <si>
    <t>อำเภอ</t>
  </si>
  <si>
    <t>ค่าวัสดุสำนักงาน</t>
  </si>
  <si>
    <t>ค่าวัสดุคอมพิวเตอร์</t>
  </si>
  <si>
    <t>ค่าน้ำมันเชื้อเพลิง</t>
  </si>
  <si>
    <t>ค่าสาธารณูปโภค</t>
  </si>
  <si>
    <t>จังหวัด/อำเภอ</t>
  </si>
  <si>
    <t>ตารางรวมการเบิกจ่ายงบบริหาร</t>
  </si>
  <si>
    <t>ไตรมาส 1-2</t>
  </si>
  <si>
    <t>จัดสรร</t>
  </si>
  <si>
    <t>เบิกจ่าย</t>
  </si>
  <si>
    <t>คงเหลือ</t>
  </si>
  <si>
    <t>เปอร์เซ็นต์</t>
  </si>
  <si>
    <t>จังหวัด</t>
  </si>
  <si>
    <t>เมืองสกลนคร</t>
  </si>
  <si>
    <t>สว่างแดนดิน</t>
  </si>
  <si>
    <t>วานรนิวาส</t>
  </si>
  <si>
    <t>พรรณานิคม</t>
  </si>
  <si>
    <t>บ้านม่วง</t>
  </si>
  <si>
    <t>อากาศอำนวย</t>
  </si>
  <si>
    <t>วาริชภูมิ</t>
  </si>
  <si>
    <t>พังโคน</t>
  </si>
  <si>
    <t>กุสุมาลย์</t>
  </si>
  <si>
    <t>เจริญศิลป์</t>
  </si>
  <si>
    <t>โพนนาแก้ว</t>
  </si>
  <si>
    <t>นิคมน้ำอูน</t>
  </si>
  <si>
    <t>กุดบาก</t>
  </si>
  <si>
    <t>คำตากล้า</t>
  </si>
  <si>
    <t>ส่องดาว</t>
  </si>
  <si>
    <t>โคกศรีสุพรรณ</t>
  </si>
  <si>
    <t>ภูพาน</t>
  </si>
  <si>
    <t>เต่างอย</t>
  </si>
  <si>
    <t>รวม</t>
  </si>
  <si>
    <t>ค่าใช้จ่ายในการเดินทางไปราชการ</t>
  </si>
  <si>
    <t>ค่าเช่าบ้าน</t>
  </si>
  <si>
    <t>ค่าซ่อมแซมครุภัณฑ์</t>
  </si>
  <si>
    <t>ค่าปฏิบัติงานนอกเวลา</t>
  </si>
  <si>
    <t>กบ 6030 สน. = 2520</t>
  </si>
  <si>
    <t>กบ 6041 สน. = 2520</t>
  </si>
  <si>
    <t>กบ 6021 สน. = 3200</t>
  </si>
  <si>
    <t>กบ 6045 = 3500</t>
  </si>
  <si>
    <t>นข 6169 สน. = 2100 บาท</t>
  </si>
  <si>
    <t>กบ 5978 สน. = 2000 บาท</t>
  </si>
  <si>
    <t>กบ 6030 สน. = 2820 บาท</t>
  </si>
  <si>
    <t>กบ 6041 สน. = 3300 บาท</t>
  </si>
  <si>
    <t>กบ 6081 สน. = 3200 บาท</t>
  </si>
  <si>
    <t>กบ 6032 สน. = 9150+13000 บาท</t>
  </si>
  <si>
    <t>กบ 6328 สน. = 2550 บาท</t>
  </si>
  <si>
    <t>คอม+ปริ้นเตอร์ = 4000 บาท</t>
  </si>
  <si>
    <t>กบ 6030 สน. = 14,800 บาท</t>
  </si>
  <si>
    <t>ค่าจ้างบุคคลภายนอก(แม่บ้าน,คนขับรถ)</t>
  </si>
  <si>
    <t>ค่าตอบแทน อสพ.</t>
  </si>
  <si>
    <t>ค่าจ้างเอกชน</t>
  </si>
  <si>
    <t>ค่าตอบแทนผู้นำ อช.</t>
  </si>
  <si>
    <t>ไตรมาส 1- 2</t>
  </si>
  <si>
    <t>คืนเงินแม่บ้าน,คนขับรถ 18,000 บาท</t>
  </si>
  <si>
    <t>คืนเงินผู้นำ อช. 1,500 บาท</t>
  </si>
  <si>
    <t>งบกลาง</t>
  </si>
  <si>
    <t>ค่าสาธารณูปโภค (เพิ่มเติม)</t>
  </si>
  <si>
    <r>
      <rPr>
        <rFont val="TH SarabunPSK"/>
        <color theme="1"/>
        <sz val="15.0"/>
      </rPr>
      <t xml:space="preserve">กฐินกรม 35220 </t>
    </r>
    <r>
      <rPr>
        <rFont val="TH SarabunPSK"/>
        <color rgb="FFFF0000"/>
        <sz val="15.0"/>
      </rPr>
      <t xml:space="preserve">คืนเงิน 4630 + </t>
    </r>
    <r>
      <rPr>
        <rFont val="TH SarabunPSK"/>
        <color theme="1"/>
        <sz val="15.0"/>
      </rPr>
      <t>ค่ารถตู้ 10,000 บาท</t>
    </r>
  </si>
  <si>
    <t>ผอ.อัสนีย์ 4,000 บาท</t>
  </si>
  <si>
    <t>ค่าพวงมาลางาน 1 ต.ค.68 = 800</t>
  </si>
  <si>
    <t>ค่าน้ำมัน = 8,600 บาท</t>
  </si>
  <si>
    <t>ค่าพวงมาลางาน 13 ต.ค.68 = 800</t>
  </si>
  <si>
    <t>ซ่อมครุภัณฑ์ =1,410 บาท</t>
  </si>
  <si>
    <t>ค่าพวงมาลางาน 23 ต.ค.68 = 800</t>
  </si>
  <si>
    <t>ค่าพานพุ่มงาน 24 ก.พ.69 = 800</t>
  </si>
  <si>
    <t>ค่าพานพุ่มงาน 14 พ.ย.68 = 800</t>
  </si>
  <si>
    <t>ค่าพานพุ่มงาน 2 มี.ค.69 = 800</t>
  </si>
  <si>
    <t>พจ.องอาจ 7,510 บาท</t>
  </si>
  <si>
    <t>ค่าพานพุ่มงาน 18 มี.ค.69 = 800</t>
  </si>
  <si>
    <t>พัชรี 5,145 บาท</t>
  </si>
  <si>
    <t>พจ.องอาจ 10,530 บาท</t>
  </si>
  <si>
    <t>ค่าพานพุ่มงาน 24 พ.ย.68 = 800</t>
  </si>
  <si>
    <t>พจ.องอาจ 13,040 บาท</t>
  </si>
  <si>
    <t>ค่าไฟฟ้า 7,072.76 บาท</t>
  </si>
  <si>
    <t>ค่าโทรศัพท์ NT 2,070.45 บาท</t>
  </si>
  <si>
    <t>ค่าพานพุ่มงาน 5 ธ.ค.68 = 800</t>
  </si>
  <si>
    <t>เสกสรร 4,000 บาท</t>
  </si>
  <si>
    <t>ค่าพานพุ่มงาน 26 ธ.ค.68 = 800</t>
  </si>
  <si>
    <t>ค่าไฟฟ้า 2,174.31 บาท</t>
  </si>
  <si>
    <t>พัชรี 3,040 บาท</t>
  </si>
  <si>
    <t>พจ.องอาจ 7,275 บาท</t>
  </si>
  <si>
    <t>ค่าพานพุ่มงาน 17 ม.ค.69 = 800</t>
  </si>
  <si>
    <t>อาหารว่าง/เครื่องดื่ม 1/2569 = 1,225 บาท</t>
  </si>
  <si>
    <t>วัสดุ สนง./คอม = 11,755 บาท</t>
  </si>
  <si>
    <t>ค่าน้ำมัน = 6050 บาท</t>
  </si>
  <si>
    <t>รายละเอียดตามแผนการปฏิบัติงานและแผนการใช้จ่ายงบประมาณ ประจำปีงบประมาณ พ.ศ. 2569</t>
  </si>
  <si>
    <t>ข้อมูล ณ   วันที่  3 เมษายน  2569 เวลา 16.30 น.</t>
  </si>
  <si>
    <t>เลขที่ 4/2569 สร้างสัมมาชีพชุมชนครัวเรือนที่ได้รบผลกระทบด้านอาชีพและรายได้ที่มีศักยภาพและสามารถพัฒนาได้</t>
  </si>
  <si>
    <t xml:space="preserve">เลขที่ 2/2569 โครงการการบริหาจัดเก็บใช้ประโยชน์ข้อมูลความจำเป็นพื้นฐาน จปฐ. ประจำปี 2568 ด้วยเครื่องมืออิเลคทรอนิกส์ กิจกรรมที่ 1ประชุมเตรียมความพร้อมผู้จัดเก็บข้อมูล จปฐ. ประจำปี 2569  </t>
  </si>
  <si>
    <t xml:space="preserve">เลขที่ 2/2569 โครงการการบริหาจัดเก็บใช้ประโยชน์ข้อมูลความจำเป็นพื้นฐาน จปฐ. ประจำปี 2568 ด้วยเครื่องมืออิเลคทรอนิกส์ กิจกรรมที่ 2 รณรงค์และเชิญชวนการเก็บข้อมูล จปฐ. ประจำปี 2569  </t>
  </si>
  <si>
    <t xml:space="preserve">เลขที่ 2/2569 โครงการการบริหาจัดเก็บใช้ประโยชน์ข้อมูลความจำเป็นพื้นฐาน จปฐ. ประจำปี 2568 ด้วยเครื่องมืออิเลคทรอนิกส์ กิจกรรมที่ 3 สนับสนุนการดำเนินงานโครงการเก็บข้อมูล จปฐ. ประจำปี 2569  </t>
  </si>
  <si>
    <t>ตารางรวมการเบิกจ่ายงบยุทธศาสตร์</t>
  </si>
  <si>
    <t xml:space="preserve">  </t>
  </si>
  <si>
    <t>ไตรมาส 1</t>
  </si>
  <si>
    <t>ร้อยละการเบิกจ่าย</t>
  </si>
  <si>
    <t>8 มค 69</t>
  </si>
  <si>
    <t>30 มีค 69</t>
  </si>
  <si>
    <t>20 มีค 69</t>
  </si>
  <si>
    <t>27 มีค 69</t>
  </si>
  <si>
    <t>11 มีค 69</t>
  </si>
  <si>
    <t>18 มีค 69</t>
  </si>
  <si>
    <t>12 กพ 69</t>
  </si>
  <si>
    <t>26 กพ 69</t>
  </si>
  <si>
    <t>ข้อมูล ณ 31 มีนาคม 2569</t>
  </si>
  <si>
    <t>ค่าจัดเก็บข้อมูลความจำเป็นข้อมูล จปฐ. ด้วยเครื่องมืออิเลคทรอนิกส์</t>
  </si>
  <si>
    <t>เลขที่ 5/2569 โครงการพัฒนาศักยภาพเครือข่ายกลุ่มอาชีพ และผู้ผลิต ผู้ประกอบ หนึ่งตำบล หนึ่งผลิตภัณฑ์ (ระดับจังหวัดและอำเภอ)</t>
  </si>
  <si>
    <t>เลขที่ 13 ตลาดนัดคนไทยยิ้มได้</t>
  </si>
  <si>
    <t>กิจกรรมที่ 1 ประชุมเชิงปฏิบัติการ</t>
  </si>
  <si>
    <t>ไตรมาส 2</t>
  </si>
  <si>
    <t>-</t>
  </si>
  <si>
    <t xml:space="preserve">เลขที่ 12 กิจกรรมที่ 1 เสริมศักยภาพการขับเคลื่อนการออมและพัฒนาทักษะการเงิน (financail Literacy)                          </t>
  </si>
  <si>
    <t>เลขที่  12โครงการส่งเสริมการออมและพัฒนาทักษะการบริหารจัดการทางการเงินของครอบครัวและชุมชน      กิจกรรมที่ 2 ส่งเสริมการออมและทักษะทางการเงิน  (Financial Literacy)</t>
  </si>
  <si>
    <t xml:space="preserve">เลขที่ 11 พัฒนาศักยภาพคณะกรรมการหมู่บ้านต้นกล้ากองทุนแม่ของแผ่นดิน </t>
  </si>
  <si>
    <t xml:space="preserve"> กิจกรรมที่ 1 เสริมศักยภาพการขับเคลื่อนการออมและพัฒนาทักษะการเงิน (financail Literacy)</t>
  </si>
  <si>
    <t>เลขที่ 7ส่งเสริมประชาชนเป้าหมายเข้าถึงแหล่งทุน</t>
  </si>
  <si>
    <t xml:space="preserve">เลขที่ 10/2569 เตรียมความพร้อมหมู่บ้านแพร่ระบาดยาเสพติดพัฒนาสู่หมู่บ้านต้นกล้ากองทุนแม่ของแผ่นดิน </t>
  </si>
  <si>
    <t>เลขที่ 10/2569 เตรียมความพร้อมหมู่บ้านแพร่ระบาดยาเสพติดพัฒนาสู่หมู่บ้านต้นกล้ากองทุนแม่ของแผ่นดิน</t>
  </si>
  <si>
    <t>เลขที่ 8 เสริมสร้างศักยภาพและยกระดับศูนย์จัดการกองทุนชุมชน</t>
  </si>
  <si>
    <t>เลขที่ 14/2569 ส่งเสริมการจัดตั้งและพัฒนากลุ่มอาชีพ</t>
  </si>
  <si>
    <t>เลขที่ 24/2569 โครงการพัฒนาหมู่บ้านเศรษฐกิจพอเพียง กิจกรรม ประชุมเชิงปฏิบัติการสร้างและพัฒนากระบวนการบริหารจัดการชุมชน</t>
  </si>
  <si>
    <t>เลขที่ 25 โครงการเสริมสร้างการบริหารจัดการชุมชนสู่ความยั่งยืน กิจกรรม ทบทวน ทิศทาง และปรับแผนการพัฒนาหมู่บ้าน</t>
  </si>
  <si>
    <t>เลขที่ 26 โครงการสร้างเครือข่ายผู้นำการเปลี่ยนแปลง เพื่อขับเคลื่อนตำบลเข้มแข็ง (ระดับตำบล)</t>
  </si>
  <si>
    <t>เลขที่ 27  โครงการพัฒนาศูนย์เรียนรู้สู่การขยายผลครัวเรือนต้นแบบ</t>
  </si>
  <si>
    <t>เลขที่ 36/2569 โครงการการตรวจสอบและรับรองคุณภาพการจัดเก็บข้อมูลความจำเป็นจปฐ (จปฐ)</t>
  </si>
  <si>
    <t>กิจกรรมที่ 1 นำเสนอผลการจัดเก็บและรับรองคุณภาพข้อมูลจปฐ.ระดับอำเภอ</t>
  </si>
  <si>
    <t>กิจกรรมที่ 2 นำเสนอผลการจัดเก็บและรับรองคุณภาพข้อมูลจปฐ.ระดับอำเภอ</t>
  </si>
  <si>
    <t>ข้อมูล ณ   วันที่  24 เมษายน  2569 เวลา 16.30 น.</t>
  </si>
  <si>
    <t xml:space="preserve">เลขที่ 35/2569 ส่งเสริมการพัฒนาชุมชนธรรมาภิบาลกิจกรรม ที่ 1 ประชุมเชิงปฏิบัติการส่งเสริมการมีส่วนร่วมของผู้แทนภาคประชาชน </t>
  </si>
  <si>
    <t xml:space="preserve">เลขที่ 35/2569 ส่งเสริมการพัฒนาชุมชนธรรมาภิบาลกิจกรรม ที่ 2 </t>
  </si>
  <si>
    <t>เลขที่ 32 โครงการประชุมส่งเสริมการบูรณาการกลไกการขับเคลื่อนการขจัดความยากจน  กิจกรรมที่ 1 ประชุมส่งเสริมการบูรณาการกลไกการขับเคลื่อนการขจัดความยากจน (ระดับจังหวัด)</t>
  </si>
  <si>
    <t>เลขที่ 32 โครงการประชุมส่งเสริมการบูรณาการกลไกการขับเคลื่อนการขจัดความยากจน  กิจกรรมที่ 2 ประชุมส่งเสริมการบูรณาการกลไกการขับเคลื่อนการขจัดความยากจน (ระดับอำเภอ)</t>
  </si>
  <si>
    <t xml:space="preserve"> เลขที่ 34/2569 โครงการประชุมปฏิบัติเชิงปฏิบัติการจัดทำและประสานแผนพัฒนาตำบล</t>
  </si>
  <si>
    <t>เลขที่ 33 ประชุมเชิงปฏิบัติการส่งเสริมการบูรณาการกลไกการขับเคลื่อนการขจัดความยากจน</t>
  </si>
  <si>
    <t>เลขที่ 9 จัดตั้งศูนย์จัดการกองทุนชุมชน</t>
  </si>
  <si>
    <t>โครงการเพิ่มประสิทธิภาพการตรวจราชการและสนับสนุนหน่วยรับตรวจในการขับเคลื่อนงานตามแผนปฏิบัติงานตามแผรปฎิบัติราชการกรมพัฒนาชุมชน กิจกรรมที่ 2 การพัฒนากลไกการตรวจราชการแบบมีส่วนร่วมกับภาคีเครือข่ายพัฒนา เพื่อสนันสนุนการขับเคลื่อนนโยบายและแผนปฎิบัติราชการกรมการพัฒนาชุมชน</t>
  </si>
  <si>
    <t>ส่งคืน</t>
  </si>
  <si>
    <t>38/2569 โครงการมหกรรมการออม 52 ปี ทุนชุมชนขับเคลื่อนเศรษฐกิจรากฐาน (ระดับจังหวัด)</t>
  </si>
  <si>
    <t>39/2569 โครงการประชุมเชิงปฏิบัติการส่งเสริมทักษะการบริหารจัดการทุนชุมชนตามหลักธรรมาภิบาลระดับจังหวัด</t>
  </si>
  <si>
    <t>37/2569 โครงการประชุมเพิ่มศักยภาพคณะกรรมการเครือข่ายกองทุนชมชนขับเคลื่อนกลุ่มออมทรัพย์เพื่อการผลิต (ระดับจังหวัด)</t>
  </si>
  <si>
    <t>เลขที่ 6 โครงการส่งเสริมการท่องเที่ยวเชิงสร้างสรรค์ (Champ)</t>
  </si>
  <si>
    <t>จัังหวัด</t>
  </si>
  <si>
    <t>โครงการเพิ่มประสิทธิภาพการบริหารสารสนเทศทรัพยากรบุคคล</t>
  </si>
  <si>
    <t xml:space="preserve">โครงการพัฒนาคุณภาพชีวิตบุคลากรกรมการพัฒนาชุมชน </t>
  </si>
  <si>
    <t>โครงการพัฒนาศักยภาพศูนย์การเรียนรู้การพัฒนาคุณภาพชีวิตตามหลักทฤษฎีใหม่ประยุกต์สู่ " โคก หนอง นา " กิจกรรม สัมมนาการจัดการเรียนรู้โรงเรียนเศรษฐกิจพอเพียง ( ค่าใช้จ่ายในการเดินทางไปราชการ)</t>
  </si>
  <si>
    <t xml:space="preserve">โครงการสร้างความรู้  ความเข้าใจเกี่ยวกับการบริหารจัดการสำนักงาน (e-office) รุ่นที่ 9 กรมการพัฒนาชุมชน (โอนจัดสรรงบ) </t>
  </si>
  <si>
    <t>โครงการประชุมเชิงปฎิบัติการการดำเนอนงานตัวชี้วัดตามมาตราการปรับปรุง ประสิทธิภาพในการปฏิบัติราชการและตัวชี้วัดการประเมินผลการปฏิบัติราชการ (ส่วนภูมิภาค)</t>
  </si>
  <si>
    <t>พัฒนาผลิตภัณฑ์ OTOP โดยเครือข่ายองค์ความรู้  (knowledge-Based Otop :KBO) (ระดับจังหวัด)</t>
  </si>
  <si>
    <t>โครงการประชุมเชิงปฏิบัติการเพิ่มประสิทธิภาพการตรวจสอบภายในเบื้องต้น</t>
  </si>
  <si>
    <t xml:space="preserve">เสริมสร้างและพัฒนาผู้นำการเปลี่ยนแปลง กิจกรรมที่ 1    </t>
  </si>
  <si>
    <t>กิจกรรมย่อยที่ 1.1 พัฒนาสมรรถนะยุคลากรหลักสูตร Train the Trainer Course (สร้างครู ก)</t>
  </si>
  <si>
    <t>โครงการพัฒนาบุคลากรสร้างความรู้ความเข้าใจในการปฏิบัติงาน  ตามหลักธรรมาภิบาลและปลูกฝังคุณธรรม จริยธรรม</t>
  </si>
  <si>
    <t>Otop city</t>
  </si>
  <si>
    <t>22/2569โครงการพัฒนากลไกขับเคลื่อนการพัฒนาเศรษฐกิจฐานรากระดับจังหวัด</t>
  </si>
  <si>
    <t>โครงการเสริมสร้างธรรมาภิบาลกองทุนชุมชน กิจกรรมที่ 1 ประชุมเชองปฎิบัติการเจ้าหน้าที่พัฒนาชุมชนขับเคลื่อนกองทุนชุมชนตามหลักธรรมาภิบาล</t>
  </si>
  <si>
    <t>ไตรมาส1</t>
  </si>
  <si>
    <t>เลขที่ 19/2569 โครงการสร้างจิตสำนึกการอนุรักษ์ทรัพยาธรรมชาติในหมู่บ้านทุนชุมชนขับเคลื่อนเศรษฐกิจฐานรากและป้องกันแก้ไขปัญหายาเสพติด</t>
  </si>
  <si>
    <t xml:space="preserve">โครงการเสริมสร้างศักยภาพกลไกการขับเคลื่อนงานทุนชุมชน กิจกรรมที่ 2.1 ประชุมเพิ่มศักยภาพกลไกการขับเคลื่อนงานทุนชุมชนตามหลักธรรมาภิบาลและการพัฒนาเศรษฐกิจฐานราก (ระดับภูมิภาค) </t>
  </si>
  <si>
    <t xml:space="preserve">โครงการพัฒนาศักยภาพศูนย์เรียนรู้การพัฒนาคุณภาพชีวิตตามหลักทฤษฎีใหม่ ประยุกต์สู่ "โคก หนองนา " </t>
  </si>
  <si>
    <t>โครงการเสริมสร้างศักยภาพกลไกลการขับเคลื่อนงานทุนชุมชน</t>
  </si>
  <si>
    <t>กิจกรรมประชุมเชิงปฏิบัติการเตรียมความพร้อมจัดตั้งโรงเรียนเศรษฐกิจพอเพียง</t>
  </si>
  <si>
    <t xml:space="preserve">กิจกรรมที่ 1 เพิ่มศักยภาพกลไกการขับเคลื่อนงานทุนชุมชนตามธรรมาภิบาลและการพัมนาเศรษฐกิจฐานราก </t>
  </si>
  <si>
    <t>เลขที่ 28 การส่งเสริมศักยภาพผู้นำอาสาพัฒนาชุมชน    (ผู้นำ อช.) ในการขับเคลื่อนแผนตำบล กิจกรรมที่ 1ประชุมเชิงปฏิบัติการจัดทำแผนขับเคลื่อนตามภารกิจ(ระดับจังหวัด)</t>
  </si>
  <si>
    <t>เลขที่ 28 การส่งเสริมศักยภาพผู้นำอาสาพัฒนาชุมชน    (ผู้นำ อช.) ในการขับเคลื่อนแผนตำบล กิจกรรมที่ 2 สนับสนุนกิจกรรมตามแผนการขับเคลื่อน (ระดับจังหวัด)</t>
  </si>
  <si>
    <t>เลขที่ 31 การขับเคลื่อนสารสนเทศค้นแบบเพื่อพัฒนาคุณภาพชีวิต กิจกรรมค้นหาศักยภาพตำบลวิเคราะห์ข้อมูลชุมชน (ระดับจังหวัด)</t>
  </si>
  <si>
    <t xml:space="preserve">เลขที่ 31 การขับเคลื่อนสารสนเทศค้นแบบเพื่อพัฒนาคุณภาพชีวิต กิจกรรมสนับสนุนประเด็นการพัฒนาคุณภาพชีวิต (ระดับจังหวัด) </t>
  </si>
  <si>
    <t>ส่งเสริมให้ศูนย์จัดการกองทุนชุมชนเป็นต้นแบบด้านการแก้ไขปัญหาหนี้สินครัวเรือนของประชาชน</t>
  </si>
  <si>
    <t>โครงการฝึกอบรมบุคลลากรกรมการพัฒนาชุมชน หลักสูตรเสริมสมรรถนะพัฒนากรระหว่างประจำการ</t>
  </si>
  <si>
    <t>โครงการประชุมเชิงปฏิบัติการเพิ่มประสิทธิภาพการปฏิบัติงานด้านกฎหมาย</t>
  </si>
  <si>
    <t>เลขที 16 โครงการประชุมเชิงปฏิบัติการเสริมสร้างทักษะคณะกรรมการบริหารศูนย์ประสานงานองค์การชุมชน (ศอช.)</t>
  </si>
  <si>
    <t xml:space="preserve">ไตรมาส 2 </t>
  </si>
  <si>
    <t xml:space="preserve"> </t>
  </si>
  <si>
    <t xml:space="preserve">เลขที่ 17 โครงการพัฒนาผลิตภัณฑ์ otop กลุ่มพัฒนา  (Quadrant D)  กิจกกรมที่ 1 ประชุมเชิงปฏิบัติการกลุ่มผู้ปลิต ผู้ประกอบการระดับจังหวัด </t>
  </si>
  <si>
    <t>เลขที่ 17 โครงการพัฒนาผลิตภัณฑ์ otop กลุ่มพัฒนา ระดับจังหวัด กิจกกรมที่ 2 พัฒนาผลิตภัณ otop ระดับจังหวัด</t>
  </si>
  <si>
    <t>เลขที่ 30/2569 โครงการพัฒนาศักยภาพเครือข่ายกลุ่มอาชีพ และผู้ผลิต ผู้ประกอบ หนึ่งตำบล หนึ่งผลิตภัณฑ์ (ระดับจังหวัด)</t>
  </si>
  <si>
    <t>โครงการเพิ่มทักษะบุคลากรด้านการจัดการความรู้งานพัฒนาชุมชน</t>
  </si>
  <si>
    <t>โครงการกิจกรรมประชุมเชิงปฏิบัติการพัฒนาศึกษาศักยภาพเครือข่ายศูนย์เรียนรู้การพัฒนาคุณภาพชีวิตตามหลักทฤษฎีใหม่ ประยุกต์สู่ โคก หนอง นา ระดับประเทศ</t>
  </si>
  <si>
    <t>โครงการประชุมเชิงปฏิบัติการเพิ่มประสิทธิภาพบุคคลากรด้านการเงินการคลัง และการบัญชี</t>
  </si>
  <si>
    <t>โครงการพัฒนาศักยภาพผู้ประกอบการสู่ยุคดิจิตอล</t>
  </si>
  <si>
    <t>29/2569 โครงการประชุมปฏิบัติการสนับสนุนการขับเคลื่อนเครือข่ายศูนย์เรียนรู้การพัฒนาคุณภาพชีวิตตามหลักทฤษฎีใหม่ ประยุกต์สู่ โคกหนองนา (ระดับจังหวัด)</t>
  </si>
  <si>
    <t xml:space="preserve">โครงการการฝึกอบรมเสริมสร้างคุณธรรมจริยธรรมข้าราชการกรรมการพัฒนาชุมชน </t>
  </si>
  <si>
    <t>โครงการส่งเสริมศักยภาพนักพัฒนาชุมชนรุ่นใหม่สู่สากล (CD Next with Global Mindset)</t>
  </si>
  <si>
    <t>โครงการประชุมเชิงปฎิบัติการเพิ่มประสิทธิภาพการปฏิบัติงานด้านกฎหมาย</t>
  </si>
  <si>
    <t>โครงการพัฒนาศักยภาพกลุ่มองค์กร และเครือข่ายขับเคลื่อนการพัฒนาตำบลเข้มแข็งตามหลักปรัชญาของเศรษฐกิจพอเพียง  กิจกรรมประชุมเชิงปฏิบัติการพัฒนาศักยภาพเจ้าหน้าที่พัฒนาชุมชน ในการจัดทำและประสานแผนพัฒนาตำบล</t>
  </si>
  <si>
    <t>โครงการแก้ไขปัญหาหนี้สินครัวเรียนของประชาชน โดยทุนชุมชน กิจกรรมย่อยที่ 1.2 ศึกษาแลกเปลี่ยนเรียนรู้และฝึกอาชีพสู่การแก้ไขปัญหาหนี้สินครัวเรือนประชาชน</t>
  </si>
  <si>
    <t>โครงการเพิ่มประสิทธิภาพเจ้าหน้าที่พัฒนาชุมชนเพื่อการพัฒนางานหนึ่งตำบล หนึ่งผลิตภัณฑ์ (OTOP)</t>
  </si>
  <si>
    <t>โครงการพัฒนาบุคลากรเพื่อเสริมสร้างภาพลักษณ์และสร้างเครือข่ายการประชาสัมพันธ์องค์กร</t>
  </si>
  <si>
    <t>โครงการ "พช. จิตอาสา ศรัทธาที่เดินได้"</t>
  </si>
  <si>
    <t>ข้อมูล ณ   วันที่ 3 กรกฎาคม 2569 เวลา 16.30 น.</t>
  </si>
  <si>
    <t>เลขที่ 45 การบริหารการจัดเก็บและใช้ประโยชน์ข้อมูลความจำเป็นพื้นฐาน (จปฐ.)
กิจกรรม ค่าจัดเก็บข้อมูลความจำเป็นพื้นฐาน (จปฐ.) ด้วยเครื่องมืออิเล็กทรอนิกส์
(ไตรมาส ๓)</t>
  </si>
  <si>
    <t>เลขที่ 60 การบริหารการจัดเก็บและใช้ประโยชน์ข้อมูลความจำเป็นพื้นฐาน (จปฐ.)
กิจกรรม ค่าจัดเก็บข้อมูลความจำเป็นพื้นฐาน (จปฐ.) ด้วยเครื่องมืออิเล็กทรอนิกส์
(ไตรมาส ๓) (เพิ่มเติม)</t>
  </si>
  <si>
    <t>เลขที่ 63 โครงการส่งเสริมการออมและพัฒนาทักษะทางการเงิน (Financial Literacy)</t>
  </si>
  <si>
    <t>เลขที่ 64 โครงการส่งเสริมความเข้มแข็งของชุมชนในการพัฒนาศักยภาพคณะกรรมการ หมู่บ้านต้นกองทุนแม่ของแผ่นดิน กิจกรรม ศึกษาแลกเปลี่ยนเรียนรู้งานกองทุนของแผ่นดินต้นแบบ</t>
  </si>
  <si>
    <t>ไตรมาส 3</t>
  </si>
  <si>
    <t>ไตรมาส 3-4</t>
  </si>
  <si>
    <t>เลขที่ 65 โครงการสนับสนุนกิจกรรมตามแบบแผนการขับเคลื่อนการขจัดความยากจน</t>
  </si>
  <si>
    <t>เลขที่ 66 โครงการตลาดนัดคนไทยยิ้มได้</t>
  </si>
  <si>
    <t>เลขที่ 67 โครงการพัฒนาเศรษฐกิจพอเพียง กิจกรรม การขับเคลื่อนกิจกรรมพัฒนาวิถีชีวิตเศรษฐกิจพอเพียงในระดับหมู่บ้าน</t>
  </si>
  <si>
    <t>เลขที่ 68 โครงการเสริมสร้างการบริหารจัดการชุมชนสู่ความยั่งยืน กิจกรรมการขับเคลื่อนกิจกรรมการบริหารจัดการชุมชนในหมู่บ้าน</t>
  </si>
  <si>
    <t xml:space="preserve">
</t>
  </si>
  <si>
    <t>เลขที่ 69 ส่งเสริมการเรียนรู้ตามแนวพระราชดำริสู่หมู่บ้านรอบศูนย์ศึกษาการพัฒนา</t>
  </si>
  <si>
    <t xml:space="preserve">เลขที่ 70 โครงการเสริมสร้างและพัฒนาผู้นำการเปลี่ยนแปลง กิจกรรมจัดเวทีแลกเปลี่ยนบทเรียนความสำเร็จผู้นำการเปลี่ยนแปลง </t>
  </si>
  <si>
    <t xml:space="preserve">เลขที่ 71 โครงการพัฒนาศักยภาพศูนย์เรียนรู้การพัฒนาคุณภาพชีวิตตามหลักทฤษฎีใหม่  ประยุกต์สู่ "โคก หนอง นา "  กิจกรรมที่ 2 </t>
  </si>
  <si>
    <t>เลขที่ 72 โครงการประชุมเชิงปฏิบัติการส่งเสริมทักษะการบริหารจัดการทุนชุมชนตามหลักธรรมาภิบาลระดับอำเภอ (กข.คจ.)</t>
  </si>
  <si>
    <t xml:space="preserve">เงินยืม 9300 </t>
  </si>
  <si>
    <t>ค่าจ้าง 6900</t>
  </si>
  <si>
    <t>ค่่าวัสดุ 3150</t>
  </si>
  <si>
    <t>เลขที่ 78 โครงการส่งเสริมการพัฒนาชุมชนธรรมาภิบาล กิจกรรมส่งเสริมการมีส่วนร่วมของผู้แทนภาคประชาชนในการต่อต้านการทุจริตและประพฤติมิชอบ</t>
  </si>
  <si>
    <t>เลขที่ 100 โครงการเสริมศักยภาพเครือข่ายกลุ่มออมทรัพย์เพื่อการผลิตระดับอำเภอในการส่งเสริมกิจกรรม เครือข่ายกลุ่มออมทรัพย์เพื่อการผลิต กิจกรรมที่ 1</t>
  </si>
  <si>
    <t>เลขที่ 100 โครงการเสริมศักยภาพเครือข่ายกลุ่มออมทรัพย์เพื่อการผลิตระดับอำเภอในการส่งเสริมกิจกรรม เครือข่ายกลุ่มออมทรัพย์เพื่อการผลิต กิจกรรมที 2</t>
  </si>
  <si>
    <t>เลขที่ 100 โครงการเสริมศักยภาพเครือข่ายกลุ่มออมทรัพย์เพื่อการผลิตระดับอำเภอในการส่งเสริมกิจกรรม เครือข่ายกลุ่มออมทรัพย์เพื่อการผลิต กิจกรรมที่ 3</t>
  </si>
  <si>
    <t>เลขที่ 101  โครงการส่งเสริมการแก้ไขปัญหนี้สินครัวเรือน "สำนึกดี แผนดี บริหารหนี้ได้"</t>
  </si>
  <si>
    <t>เลขที่ 103 โครงการส่งเสริมและพัฒนาต่อยอด กิจกรรมพัฒนาต่อยอดกลุ่มอาชีพ</t>
  </si>
  <si>
    <t>เลขที่ 52 โครงการสร้างการรับรู้ภูมิปัญญาผ้าไทยและผ้าลายพระราชทาน</t>
  </si>
  <si>
    <t xml:space="preserve">     </t>
  </si>
  <si>
    <t>รายละเอียดตามแผนการปฏิบัติงานและแผนการใช้จ่ายงบประมาณ ประจำปีงบประมาณ พ.ศ. 2568</t>
  </si>
  <si>
    <t>ข้อมูล ณ วันที่ 11  เมษายน  2568 เวลา 16.30 น.</t>
  </si>
  <si>
    <t>รายละเอียดตามแผนการปฏิบัติงานและแผนการใช้จ่ายงบประมาณ ประจำปีงบประมาณ พ.ศ. 2569 (งบจัดสรรจังหวัด)</t>
  </si>
  <si>
    <t>ข้อมูล ณ วันที่  พฤษภาคม 2569 เวลา 16.30 น.</t>
  </si>
  <si>
    <t>โครงการพัฒนาศักยภาพผู้ประกอบการสู่การเป็นผู้จำหน่ายมืออาชีพ  ตามหนังสือ(มท 0403.2/ว 1797)</t>
  </si>
  <si>
    <t xml:space="preserve">ค่าเดินทางโครงการฝึกอบรมหลักสูตรเสริมสมรรถนะผู้อำนวยการกลุ่มงาน </t>
  </si>
  <si>
    <t>โครงการแก้ไขปัญหาหนี้สินครัวเรือนของประชาชนโดยชุมชน กิจกรรมที่ 2.1 ส่งเสริมการแก้ไขปัญหาหนี้สินครัวเรือน "สำนึกดี แผนดี บริการหนี้ได้ "</t>
  </si>
  <si>
    <t>เลขที่ 61 โครงการจัดทำสารสนเทศตำบลต้นแบบเพื่อพัฒนาคุณภาพชีวิต ประจำปีงบประมาณ พ.ศ.2569</t>
  </si>
  <si>
    <t>เลขที่ 62 โครงการประชุมเชิงปฎิบัติการส่งเสริมกิจกรรมเครือข่ายกลุ่มออมทรัพย์เพื่อการผลิต</t>
  </si>
  <si>
    <t>เลขที่ 73 โครงการเชิดชูเกียรติเครือข่ายพัฒนาชุมชนดีเด่น กิจกรรม การส่งเสริมและพัฒนากลุ่มเป้าหมายตามระบบมาตราฐานการพัฒนาชุมชน (มชช.)</t>
  </si>
  <si>
    <t>เลขที่ 74 โครงการเชิดชูเกียรติเครือข่ายพัฒนาชุมชนดีเด่น ประจำปี 2569 กิจกรรม คัดสรรกิจกรรมพัฒนาชุมชนดีเด่น</t>
  </si>
  <si>
    <t>เลขที่ 75 โครงการพัฒนากลไกขับเคลื่อนการพัฒนาเศรษฐกิจรากระดับจังหวัด</t>
  </si>
  <si>
    <t>ค่าเดินทางโครงการฝึกอบรมบุคลากรกรมการพัฒนาชุมชน หลักสูตรเสริมสมรรถนะ นักวิาชาการพัฃมนาชุมชนชำนาญการพิเศษ</t>
  </si>
  <si>
    <t>เลขที่ 76 โครงการส่งเสริมการสร้างรายได้จากกิจการอาหารปลอดภัย กิจกรรมที่ 1 การส่งเสริมการสร้างรายได้จากกิจการอาหารปลอดภัย</t>
  </si>
  <si>
    <t>เลขที่ 76 โครงการส่งเสริมการสร้างรายได้จากกิจการอาหารปลอดภัย กิจกรรมที่ 2 จัดกิจกรรมเชื่อมโยงช่องทางการตลาดในการสร้างรายได้จากกิจการอาหารปลอดภัย</t>
  </si>
  <si>
    <t>เลขที่ 77 โครงการเสริมสร้างรายได้ด้วยเครือข่ายเกษตรปลอดภัย</t>
  </si>
  <si>
    <t xml:space="preserve"> โครงการพัฒนาศักยภาพเครือข่ายกลุ่มอาชีและผู้ผลิด ผู้ประกอบการ หนึ่งตำบล หนึ่งผลิตภัณฑ์ กิจกรรมที่ 3 ประชุมเชิงปฏิบัติการพัฒนาศักยภาพเครือข่ายกลุ่มอาชีพ</t>
  </si>
  <si>
    <t>โครงการติดตามและสนับสนุนบริหารงานทรัพยากร "กจ.สัญจร" ปีงบประมาณ 2569</t>
  </si>
  <si>
    <t>เลขที่ 80 โครงการคัดสรรสุดยอดหนึ่งตำบล หนึ่งผลิตภัณฑ์ไทย ปี 2569 (OPC)</t>
  </si>
  <si>
    <t>โครงการส่งเสริมและพัฒนาอาชีพ กิจกรรมพัฒนาต่อยอดกลุ่มอาชีพ</t>
  </si>
  <si>
    <t>โครงการส่งเสริมกิจกรรมของกลุ่มออมทรัพย์เพื่อการผลิต กิจกรรมที่ 1 ประชุมเชิงปฏิบัติการส่งเสริมกิจกรรมเครือข่ายกลุ่มออมทรัพย์เพื่อหารผลิต</t>
  </si>
  <si>
    <t>ผลผลิตส่งเสริมเศรษฐกิจฐานราก การผลิต การตลาดและจำหน่ายผลิคภัณฑ์ชุมชน โครงการ OTOP MIDYEAR 2026</t>
  </si>
  <si>
    <t>โครงการแก้ไขปัญหาหนี้สินครัวเรือนของประชาชน " สำนึกดี แผนดี บริหารหนี้ได้"</t>
  </si>
  <si>
    <t>โครงการขับเคลือนแผนการปฏิบัติราชการกรมการพัฒนาชุมชน ของกรมการพัฒนาชุมชน กิจกรรมที่ 5 ประชุมเชิงปฏิบัติการจัดทำแผนปฏิบัติราชการรายปี (2570) ของกรมการพัฒนาชุมชน (ค่าพาหนะ)</t>
  </si>
  <si>
    <t xml:space="preserve"> โครงการส่งเสริมการขับเคลื่อนศูนย์ผู้นำจิตอาสาพัฒนาชุมชนสู่การขับเคลื่อนศูนย์ผู้นำจิตอาสาพัฒนาชุมชนสู่การขับเคลื่อนชุมชนเข็มแข็งพึ่งพาตนเองได้อย่างยังยืน</t>
  </si>
  <si>
    <t>ค่าเดินทางไปราชการเข้าร่วมกิจกรรมประชุมชีแจงเตรียมความพร้อมรับทุน (กพ.)</t>
  </si>
  <si>
    <t>วันโอน</t>
  </si>
  <si>
    <t>โอน 8 เมษายน 69</t>
  </si>
  <si>
    <t>โอน 27 มีนาคม 69</t>
  </si>
  <si>
    <t>โอน 14 พค 69</t>
  </si>
  <si>
    <t>โอน 23 เมษายน 69</t>
  </si>
  <si>
    <t>โอน 3 เมษายน 69</t>
  </si>
  <si>
    <t>รอบการประเมินที่ 1 (1 ตุลาคม 2567 - 31 มีนาคม 2568)</t>
  </si>
  <si>
    <t>สรุปค่าคะแนนตัวชี้วัดการประเมินผลการปฏิบัติราชการของสำนักงานพัฒนาชุมชนอำเภอ รายทีม รอบการประเมินที่ 1/2568</t>
  </si>
  <si>
    <t>ตัวชี้วัดรายทีม  ตัวชี้วัดที่ 1  ร้อยละของการใช้จ่ายเงินงบประมาณ ประจำปีงบประมาณ พ.ศ.2568 (ไตรมาสที่ 1-2)</t>
  </si>
  <si>
    <t>เกณฑ์การให้คะแนน  : แบ่งเกณฑ์การให้คะแนนเป็น 5 ระดับ ดังนี้</t>
  </si>
  <si>
    <t>ข้อมูล ณ วันที่  20  เดือน  มีนาคม  พ.ศ.  2568</t>
  </si>
  <si>
    <t>ตัวชี้วัดรายทีม  ตัวชี้วัดที่ 1  ร้อยละของการใช้จ่ายเงินงบประมาณ  ประจำปีงบประมาณ พ.ศ.2568 (ไตรมาสที่ 1-2)</t>
  </si>
  <si>
    <t>สรุปผลการดำเนินงาน</t>
  </si>
  <si>
    <t>ค่าคะแนนที่ได้</t>
  </si>
  <si>
    <t>1.ผลการเบิิกจ่ายสะสม ร้อยละ 86.28
2.ส่งเอกสารหลักฐานทางการเงินไม่ครบถ้วน 
3.ส่งใช้เงินยืมเกินกำหนดเวลา 30 วัน จำนวน 3 สัญญา</t>
  </si>
  <si>
    <t>1*</t>
  </si>
  <si>
    <t>1.ผลการเบิิกจ่ายสะสม ร้อยละ 100
2.ส่งเอกสารหลักฐานทางการเงินครบถ้วน 
3.ส่งใช้เงินยืมเกินกำหนดเวลา 30 วัน จำนวน 1 สัญญา</t>
  </si>
  <si>
    <t>4*</t>
  </si>
  <si>
    <t>1.ผลการเบิิกจ่ายสะสม ร้อยละ 99.88
2.ส่งเอกสารหลักฐานทางการเงินไม่ครบถ้วน
3.ส่งใช้เงินยืมเกินกำหนดเวลา 30 วัน จำนวน 1 สัญญา</t>
  </si>
  <si>
    <t>3*</t>
  </si>
  <si>
    <t xml:space="preserve">1.ผลการเบิิกจ่ายสะสม ร้อยละ 100 
2.ส่งเอกสารหลักฐานทางการเงินครบถ้วน 
</t>
  </si>
  <si>
    <t>1.ผลการเบิิกจ่ายสะสม ร้อยละ 93.74
2.ส่งเอกสารหลักฐานทางการเงินครบถ้วน
3.ส่งใช้เงินยืมเกินกำหนดเวลา 30 วัน จำนวน 1 สัญญา</t>
  </si>
  <si>
    <t>2*</t>
  </si>
  <si>
    <t>กุุสุมาลย์</t>
  </si>
  <si>
    <t xml:space="preserve">1.ผลการเบิิกจ่ายสะสม ร้อยละ 100
2.ส่งเอกสารหลักฐานทางการเงินครบถ้วน </t>
  </si>
  <si>
    <t xml:space="preserve">1.ผลการเบิิกจ่ายสะสม ร้อยละ 84.32
2.ส่งเอกสารหลักฐานทางการเงินครบถ้วน
</t>
  </si>
  <si>
    <t xml:space="preserve">1.ผลการเบิิกจ่ายสะสม ร้อยละ 99.63 
2.ส่งเอกสารหลักฐานทางการเงินครบถ้วน </t>
  </si>
  <si>
    <t>1.ผลการเบิิกจ่ายสะสม ร้อยละ 94.19
2.ส่งเอกสารหลักฐานทางการเงินครบถ้วน 
3.ส่งใช้เงินยืมเกินกำหนดเวลา 30 วัน จำนวน 3 สัญญา</t>
  </si>
  <si>
    <t>1.ผลการเบิิกจ่ายสะสม ร้อยละ 78.86
2.ส่งเอกสารหลักฐานทางการเงินครบถ้วน 
3.ส่งใช้เงินยืมเกินกำหนดเวลา 30 วัน จำนวน 5 สัญญา</t>
  </si>
  <si>
    <t>0*</t>
  </si>
  <si>
    <t xml:space="preserve">1.ผลการเบิิกจ่ายสะสม ร้อยละ 77.31
2.ส่งเอกสารหลักฐานทางการเงินครบถ้วน 
</t>
  </si>
  <si>
    <t>เต่่างอย</t>
  </si>
  <si>
    <t>1.ผลการเบิิกจ่ายสะสม ร้อยละ 97.33
2.ส่งเอกสารหลักฐานทางการเงินครบถ้วน
3.ส่งใช้เงินยืมเกินกำหนดเวลา 30 วัน จำนวน 2 สัญญา</t>
  </si>
  <si>
    <t>1.ผลการเบิิกจ่ายสะสม ร้อยละ 68.79
2.ส่งเอกสารหลักฐานทางการเงินครบถ้วน 
3.ส่งใช้เงินยืมเกินกำหนดเวลา 30 วัน จำนวน 1 สัญญา</t>
  </si>
  <si>
    <t>โคกศรีีสุพรรณ</t>
  </si>
  <si>
    <t>1.ผลการเบิิกจ่ายสะสม ร้อยละ 99.72
2.ส่งเอกสารหลักฐานทางการเงินครบถ้วน 
3.ส่งใช้เงินยืมเกินกำหนดเวลา 30 วัน จำนวน 1 สัญญา</t>
  </si>
  <si>
    <t>1.ผลการเบิิกจ่ายสะสม ร้อยละ 82.08
2.ส่งเอกสารหลักฐานทางการเงินไม่ครบถ้วน
3.ส่งใช้เงินยืมเกินกำหนดเวลา 30 วัน จำนวน 1 สัญญา</t>
  </si>
  <si>
    <t>1.ผลการเบิิกจ่ายสะสม ร้อยละ 83.87
2.ส่งเอกสารหลักฐานทางการเงินครบถ้วน 
3.ส่งใช้เงินยืมเกินกำหนดเวลา 30 วัน จำนวน 5 สัญญา</t>
  </si>
  <si>
    <t xml:space="preserve">1.ผลการเบิิกจ่ายสะสม ร้อยละ 84.84
2.ส่งเอกสารหลักฐานทางการเงินครบถ้วน 
</t>
  </si>
  <si>
    <r>
      <rPr>
        <rFont val="TH SarabunPSK"/>
        <b/>
        <color theme="1"/>
        <sz val="16.0"/>
      </rPr>
      <t xml:space="preserve">หมายเหตุ </t>
    </r>
    <r>
      <rPr>
        <rFont val="TH SarabunPSK"/>
        <color theme="1"/>
        <sz val="16.0"/>
      </rPr>
      <t xml:space="preserve"> * ส่งใช้เงินยืมเกินกำหนดเวลา 30 วัน ได้รับหนังสือติดตามเร่งรัดการส่งใช้เงินยืม(เอกสารแนบ)</t>
    </r>
  </si>
  <si>
    <t>ลำดับคะแนน</t>
  </si>
  <si>
    <t>เกณฑ์การให้คะแนน</t>
  </si>
  <si>
    <t>ผลการเบิกจ่ายสะสม ไม่น้อยกว่าร้อยละ 80</t>
  </si>
  <si>
    <t>ผลการเบิกจ่ายสะสม ไม่น้อยกว่าร้อยละ 85</t>
  </si>
  <si>
    <t xml:space="preserve">ผลการเบิกจ่ายสะสม ไม่น้อยกว่าร้อยละ 90 </t>
  </si>
  <si>
    <t>ผลการเบิกจ่ายสะสม ไม่น้อยกว่าร้อยละ 95</t>
  </si>
  <si>
    <t>ผลการเบิกจ่ายสะสม ไม่น้อยกว่าร้อยละ 100 และส่งหลักฐานใช้คืนเงินยืม/
ตรวจสอบเอกสารถูกต้องครบถ้วนทุกกิจกรรม (ภายในวันที่ 20 มีนาคม 2568)</t>
  </si>
  <si>
    <t>หลักฐานเชิงประจักษ์</t>
  </si>
  <si>
    <t>1. รายงานในระบบ GFMIS ของกองคลัง</t>
  </si>
  <si>
    <t>2. ผลการตรวจสอบความถูกต้องครบถ้วน และการแก้ไข จากจนท.การเงิน จังหวัด (แก้ไขภายใน 5 วันทำการ)</t>
  </si>
  <si>
    <t>3. ส่งใช้คืนเงินยืมเกินกำหนด 30 วัน (หนังสือแจ้งเร่งรัดการส่งใช้คืนเงินยืม)</t>
  </si>
  <si>
    <t xml:space="preserve">    3.1 เกินกำหนด 1 - 4 สัญญาการยืมเงิน ลดคะแนน 1 ระดับ</t>
  </si>
  <si>
    <t xml:space="preserve">    3.2 เกินกำหนด มากกว่า 4 สัญญาการยืมเงิน ลดคะแนน 2 ระดับ</t>
  </si>
  <si>
    <t>ข้อมูล ณ วันที่ 1  ธันวาคม  2568 เวลา 16.30 น.</t>
  </si>
  <si>
    <t>ค่าจัดเก็บข้อมูลความจำเป็นข้อมูล จปฐ.                               ด้วยเครื่องมืออิเลคทรอนิกส์</t>
  </si>
  <si>
    <t>ยืมเงิน</t>
  </si>
  <si>
    <t>รายละเอียดแนบท้าย (ส่งใช้คืนเงินยืมเกินกำหนด)</t>
  </si>
  <si>
    <t>สรุปค่าคะแนนตัวชี้วัดการประเมินผลการปฏิบัติราชการของสำนักงานพัฒนาชุมชนอำเภอ รายทีม รอบการประเมินที่ 1/2569</t>
  </si>
  <si>
    <t>ตัวชี้วัดรายทีม  ตัวชี้วัดที่ 1  ร้อยละของการใช้จ่ายเงินงบประมาณ  ประจำปีงบประมาณ พ.ศ.2569(ไตรมาสที่ 1-2)</t>
  </si>
  <si>
    <t>ข้อมูล ณ วันที่  20  เดือน  มีนาคม  พ.ศ.  2569</t>
  </si>
  <si>
    <t>โครงการ</t>
  </si>
  <si>
    <t>หลักฐาน</t>
  </si>
  <si>
    <t xml:space="preserve">- เงินยืมโครงการพัฒนาศักยภาพเครือข่ายกลุ่มอาชีพ และผู้ผลิต ผู้ประกอบ หนึ่งตำบล หนึ่งผลิตภัณฑ์ (ระดับจังหวัดและอำเภอ) 
- เงินยืมพัฒนาศักยภาพคณะกรรมการหมู่บ้านต้นกล้ากองทุนแม่ของแผ่นดิน
- เงินยืมโครงการส่งเสริมการออมและพัฒนาทักษะการบริหารจัดการทางการเงินของครอบครัวและชุมชน กิจกรรมที่ 2 ส่งเสริมการออมและทักษะทางการเงิน  (Financial Literacy) 
- เงินยืมเตรียมความพร้อมหมู่บ้านแพร่ระบาดยาเสพติดพัฒนาสู่หมู่บ้านต้นกล้ากองทุนแม่ของแผ่นดิน 
- เงินยืมส่งเสริมประชาชนเป้าหมายเข้าถึงแหล่งทุน 
นางสาวสำรวย สุวรรณเขต บย.32/2569 (อ.ส่องดาว)
-เงินยืมสร้างสัมมาชีพชุมชนครัวเรือนที่ได้รบผลกระทบด้านอาชีพและรายได้ที่มีศักยภาพ 
-เงินยืมส่งเสริมการจัดตั้งและพัฒนากลุ่มอาชีพ 
-เงินยืมโครงการพัฒนาหมู่บ้านเศรษฐกิจพอเพียง กิจกรรม ประชุมเชิงปฏิบัติการสร้างและพัฒนากระบวณการบริหารจัดการชุมชน 
นายศิวาวุฒิ พรหมอุดม 88/2569(อ.ส่องดาว)
</t>
  </si>
  <si>
    <t>หนังสือจังหวัดสกลนคร ที่ สน 0019.1/683 
ลงวันที่ 13 มกราคม 2569 
เรื่อง เร่งรัดการส่งใช้เงินยืมราชการ
หนังสือจังหวัดสกลนคร ที่ สน 0019.1/3287 
ลงวันที่ 19 กุมภาพันธ์ 2569 
เรื่อง เร่งรัดการส่งใช้เงินยืมราชการ
หนังสือจังหวัดสกลนคร ที่ สน 0019.1/5577 
ลงวันที่ 18 มีนาคม 2569 
เรื่อง เร่งรัดการส่งใช้เงินยืมราชการ</t>
  </si>
  <si>
    <t>-เงินยืมค่าจัดเก็บข้อมูลความจำเป็นข้อมูล จปฐ. ด้วยเครื่องมืออิเลคทรอนิกส์
นายอัคริเดช ทองหมั้น และ นางสาวปิ่นปินัทธ์ พงศ์วัฒนาวิจิตร
 บย.12/2569 (อ.วานรนิวาส)"
-เงินยืมส่งเสริมประชาชนเป้าหมายเข้าถึงแหล่งทุน
เงินยืมโครงการส่งเสริมการออมและพัฒนาทักษะการบริหารจัดการทางการเงินของครอบครัวและชุมชน      กิจกรรมที่ 2 ส่งเสริมการออมและทักษะทางการเงิน  (Financial Literacy) 
นายสมศักดิ์ บุตรสงกา (บย.80/2569) อ.วานรนิวาส</t>
  </si>
  <si>
    <t>หนังสือจังหวัดสกลนคร ที่ สน 0019.1/25681
ลงวันที่ 22 ธันวาคม 2569 
เรื่อง เร่งรัดการส่งใช้เงินยืมราชการ
หนังสือจังหวัดสกลนคร ที่ สน 0019.1/5585
ลงวันที่ 18 มีนาคม 2569 เรื่อง 
เร่งรัดการส่งใช้เงินยืมราชการ</t>
  </si>
  <si>
    <t>-เงินยืมโครงการเสริมสร้างการบริหารจัดการชุมชนสู่ความยั่งยืน กิจกรรมทบทวน กำหนดทิศทาง และปรับแผน การพัฒนาหมู่บ้าน 
-เงินยืมการประชุมส่งเสริมการบูรณาการกลไกการขับเคลื่อนการขจัดความยากจน 
-เงินยืมการประชุมเชิงปฏิบัติการส่งเสริมบูรณาการกลไกการขับเคลื่อนการขจัดความยากจน 
-เงืนยืมโครงการประชุมเชิงปฏิบัติการจัดทำและประสานพัฒนาตำบล
-เงินยืมโครงการส่งเสริมการพัฒนาชุมชนธรรมาภิบาล กิจกรรมที่ 1 การประชุมเชิงปฏิบัติการ 
-เงินยืมโครงการตรวจสอบและรับรองคุณภาพการจัดเก็บข้อมูล จปฐ ระดับอำเภอ 
นายนคร สมัย (อ.พังโคน)  บย.108/2569</t>
  </si>
  <si>
    <t xml:space="preserve">หนังสือจังหวัดสกลนคร ที่ สน 0019.1/5266
ลงวันที่ 4 มีนาคม 2569 
เรื่อง เร่งรัดการส่งใช้เงินยืมราชการ
</t>
  </si>
  <si>
    <t>โครงการพัฒนาหมู่บ้านเศรษฐกิจพอเพียง 
กิจกรรมที่ 3 พัฒนาศูนย์เรียนรู้ทฤษฎีใหม่รูปแบบ"โคกหนองนา"</t>
  </si>
  <si>
    <t>จำนวน
(แปลง)</t>
  </si>
  <si>
    <t>เป็นเงิน</t>
  </si>
  <si>
    <t>ผูก PO</t>
  </si>
  <si>
    <t>ค่าตอบแทน
ผู้ควบคุมงาน</t>
  </si>
  <si>
    <t>เบิกจ่ายคงเหลือ</t>
  </si>
  <si>
    <t>ส่งคืนกรม</t>
  </si>
  <si>
    <t>ข้อมูล ณ วันที่ 18 กรกฎาคม 2568</t>
  </si>
  <si>
    <t>รายละเอียดตามแผนการปฏิบัติงานและแผนการใช้จ่ายงบประมาณ ประจำปีงบประมาณ พ.ศ. 2568  (ไตรมาส 3-4)</t>
  </si>
  <si>
    <t>ตารางแสดงรายการผลการเบิกจ่ายและใช้จ่ายงบประมาณ ประจำปีงบประมาณ พ.ศ. 2568</t>
  </si>
  <si>
    <t>ข้อมูล ณ วันที่ 24 กรกฎาคม 2568 เวลา 16.30 น.</t>
  </si>
  <si>
    <t>(งบจังหวัด) ข้อมูล ณ วันที่  10 กุมภาพันธ์ 2568 เวลา 16.30 น.</t>
  </si>
  <si>
    <t>กิจกรรมปฏิบัติการป้องกันและแก้ไขปัญหายาเสพติด ตามรูปแบบ “ธวัชบุรีโมเดล สู่สกลนครโมเดล” โดยกองทุนแม่ของแผ่นดิน</t>
  </si>
  <si>
    <t>กิจกรรมยกระดับผลิตภัณฑ์ และประชาสัมพันธ์ผลิตภัณฑ์ประเภทผ้าของจังหวัดสกลนครสู่การพัฒนาที่ยั่งยืน</t>
  </si>
  <si>
    <t>รายละเอียดตามแผนการปฏิบัติงานและแผนการใช้จ่ายงบประมาณ ประจำปีงบประมาณ พ.ศ. 2568  (ไตรมาส 1-2)</t>
  </si>
  <si>
    <t>ข้อมูล ณ วันที่ 31 มีนาคม 2568 เวลา 16.30 น.</t>
  </si>
  <si>
    <t>รายละเอียดตามแผนการปฏิบัติงานและแผนการใช้จ่ายงบประมาณ ประจำปีงบประมาณ พ.ศ. 2569  (ไตรมาส 3-4)</t>
  </si>
  <si>
    <t>ข้อมูล ณ วันที่ 30 มิถุนายน 2569 เวลา 16.30 น.</t>
  </si>
  <si>
    <t>(งบบริหาร) ข้อมูล ณ วันที่  12 มิุถนายน 2569 เวลา 16.30 น.</t>
  </si>
  <si>
    <t>ข้อมูล ณ วันที่ 26 มิถุนายน 2569 เวลา 16.30 น.</t>
  </si>
  <si>
    <t>ซ่อมไฟบ้าน พจ. = 5,500 บาท</t>
  </si>
  <si>
    <t xml:space="preserve">ยางรถยนต์ กบ 6017 สน. = 13,960 บาท
กบ 6017 สน. </t>
  </si>
  <si>
    <t xml:space="preserve">ยางรถยนต์ กบ 6039 สน. = 13,960 บาท
กบ 6017 สน. </t>
  </si>
  <si>
    <t>ช่อมCPU =1,555 บาท</t>
  </si>
  <si>
    <t>กุุดบาก</t>
  </si>
  <si>
    <t>ค่าจ้างบุคคลภายนอก(คนขับรถ)</t>
  </si>
  <si>
    <t>ค่าประกันภัยรถยนต์</t>
  </si>
  <si>
    <t>แม่บ้าน</t>
  </si>
  <si>
    <t xml:space="preserve">ไตรมาส 3 </t>
  </si>
  <si>
    <t>งบกลาง (เก่า)</t>
  </si>
  <si>
    <t>นข 6169 เปลี่ยนยาง = 14,200 บาท</t>
  </si>
  <si>
    <t>สหกรณ์ น้ำมัน = 7,120 บาท</t>
  </si>
  <si>
    <t>น้ำมัน = 3,200 บาท</t>
  </si>
  <si>
    <t>พานพุ่ม 31 มี.ค.69= 800 บาท</t>
  </si>
  <si>
    <t>พานพุ่ม 6 เม.ย.69= 800 บาท</t>
  </si>
  <si>
    <t>ประชุมประจำเดือน เม.ย.69= 3,400 บาท</t>
  </si>
  <si>
    <t>เสกสรร = 3,675 บาท</t>
  </si>
  <si>
    <t>พานพุ่ม 25 เม.ย.69= 800 บาท</t>
  </si>
  <si>
    <t>พวงมาลา 30 พ.ค.2569= 800 บาท</t>
  </si>
  <si>
    <t>พวงมาลา 9 มิ.ย.2569= 800 บาท</t>
  </si>
  <si>
    <t>น้ำมัน เดือน พ.ค.69= 2,180 บาท</t>
  </si>
  <si>
    <t>ค่าอาหารว่าง+เครื่องดื่ม 3/2569 = 1,750 บาท</t>
  </si>
  <si>
    <t>พจ.= 11.175 บาท</t>
  </si>
  <si>
    <t>ช่อมCPU =143 บาท</t>
  </si>
  <si>
    <t>กบ 5977 สน = 3,850 บาท</t>
  </si>
  <si>
    <t>กบ 6020 สน = 2,650 บาท</t>
  </si>
  <si>
    <t>ช่อมCPU = 3,590 บาท</t>
  </si>
  <si>
    <t>กบ 6081 สน = 5,500 บาท</t>
  </si>
  <si>
    <t>รายละเอียดตามแผนการปฏิบัติงานและแผนการใช้จ่ายงบประมาณ ประจำปีงบประมาณ พ.ศ. 2569  (ไตรมาส 4)</t>
  </si>
  <si>
    <t>ข้อมูล ณ วันที่ 2 กรกฎาคม 2569 เวลา 16.30 น.</t>
  </si>
  <si>
    <t>ไตรมาส 4</t>
  </si>
  <si>
    <t>ไตรมาส 3 - 4</t>
  </si>
  <si>
    <t>ข้อมูล ณ วันที่ 3 พฤศจิกายน 2568 เวลา 16.30 น.</t>
  </si>
  <si>
    <t>โคงการพัฒนาศักยภาพผู้ผลิต ผู้ประกอบการชุมชนสู่การเป็นนักแปรรูปมืออาชีพ</t>
  </si>
  <si>
    <t>โครงการพัฒนาศักยภาพบุคลากรและยกระดับสินค้าฯ กิจกรรมที่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</si>
</sst>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00"/>
    <numFmt numFmtId="165" formatCode="_-* #,##0_-;\-* #,##0_-;_-* &quot;-&quot;??_-;_-@"/>
    <numFmt numFmtId="166" formatCode="_(* #,##0_);_(* \(#,##0\);_(* &quot;-&quot;??_);_(@_)"/>
    <numFmt numFmtId="167" formatCode="_-* #,##0.00_-;\-* #,##0.00_-;_-* &quot;-&quot;??.00_-;_-@"/>
    <numFmt numFmtId="168" formatCode="d mmmyy"/>
    <numFmt numFmtId="169" formatCode="_(* #,##0.00_);_(* \(#,##0.00\);_(* &quot;-&quot;??.00_);_(@_)"/>
    <numFmt numFmtId="170" formatCode="#,##0.00;(#,##0.00)"/>
    <numFmt numFmtId="171" formatCode="-"/>
    <numFmt numFmtId="172" formatCode="_-* #,##0.000_-;\-* #,##0.000_-;_-* &quot;-&quot;??.000_-;_-@"/>
  </numFmts>
  <fonts count="72">
    <font>
      <sz val="10.0"/>
      <color rgb="FF000000"/>
      <name val="Calibri"/>
      <scheme val="minor"/>
    </font>
    <font>
      <b/>
      <sz val="14.0"/>
      <color rgb="FF000000"/>
      <name val="TH Sarabun PSK"/>
    </font>
    <font>
      <sz val="14.0"/>
      <color theme="1"/>
      <name val="TH Sarabun PSK"/>
    </font>
    <font>
      <b/>
      <sz val="14.0"/>
      <color theme="1"/>
      <name val="TH Sarabun PSK"/>
    </font>
    <font>
      <sz val="16.0"/>
      <color theme="1"/>
      <name val="TH Sarabun PSK"/>
    </font>
    <font/>
    <font>
      <sz val="14.0"/>
      <color rgb="FF000000"/>
      <name val="TH Sarabun PSK"/>
    </font>
    <font>
      <sz val="12.0"/>
      <color rgb="FF000000"/>
      <name val="TH Sarabun PSK"/>
    </font>
    <font>
      <sz val="12.0"/>
      <color theme="1"/>
      <name val="TH Sarabun PSK"/>
    </font>
    <font>
      <b/>
      <sz val="12.0"/>
      <color rgb="FF000000"/>
      <name val="TH Sarabun PSK"/>
    </font>
    <font>
      <b/>
      <sz val="12.0"/>
      <color theme="1"/>
      <name val="TH Sarabun PSK"/>
    </font>
    <font>
      <sz val="12.0"/>
      <color theme="1"/>
      <name val="Calibri"/>
      <scheme val="minor"/>
    </font>
    <font>
      <sz val="13.0"/>
      <color theme="1"/>
      <name val="TH Sarabun PSK"/>
    </font>
    <font>
      <sz val="16.0"/>
      <color rgb="FF000000"/>
      <name val="TH Sarabun PSK"/>
    </font>
    <font>
      <sz val="12.0"/>
      <color rgb="FF1F1F1F"/>
      <name val="TH Sarabun PSK"/>
    </font>
    <font>
      <sz val="15.0"/>
      <color theme="1"/>
      <name val="TH SarabunPSK"/>
    </font>
    <font>
      <sz val="16.0"/>
      <color theme="1"/>
      <name val="TH SarabunPSK"/>
    </font>
    <font>
      <sz val="10.0"/>
      <color rgb="FF000000"/>
      <name val="TH Sarabun PSK"/>
    </font>
    <font>
      <sz val="11.0"/>
      <color rgb="FF000000"/>
      <name val="Sarabun"/>
    </font>
    <font>
      <sz val="12.0"/>
      <color rgb="FF000000"/>
      <name val="Sarabun"/>
    </font>
    <font>
      <sz val="9.0"/>
      <color rgb="FF000000"/>
      <name val="Sarabun"/>
    </font>
    <font>
      <sz val="9.0"/>
      <color theme="1"/>
      <name val="Sarabun"/>
    </font>
    <font>
      <b/>
      <sz val="11.0"/>
      <color rgb="FF000000"/>
      <name val="Sarabun"/>
    </font>
    <font>
      <b/>
      <sz val="12.0"/>
      <color theme="1"/>
      <name val="Sarabun"/>
    </font>
    <font>
      <b/>
      <sz val="12.0"/>
      <color rgb="FF000000"/>
      <name val="Sarabun"/>
    </font>
    <font>
      <sz val="11.0"/>
      <color theme="1"/>
      <name val="Sarabun"/>
    </font>
    <font>
      <color theme="1"/>
      <name val="Calibri"/>
      <scheme val="minor"/>
    </font>
    <font>
      <sz val="12.0"/>
      <color theme="1"/>
      <name val="Sarabun"/>
    </font>
    <font>
      <sz val="14.0"/>
      <color theme="1"/>
      <name val="&quot;TH SarabunPSK&quot;"/>
    </font>
    <font>
      <sz val="8.0"/>
      <color rgb="FF000000"/>
      <name val="Sarabun"/>
    </font>
    <font>
      <sz val="11.0"/>
      <color rgb="FF000000"/>
      <name val="&quot;Chulabhorn Likit Text Light&quot;"/>
    </font>
    <font>
      <color rgb="FF252525"/>
      <name val="SarabunRegular"/>
    </font>
    <font>
      <color theme="1"/>
      <name val="Calibri"/>
    </font>
    <font>
      <sz val="11.0"/>
      <color theme="1"/>
      <name val="Calibri"/>
    </font>
    <font>
      <sz val="11.0"/>
      <color rgb="FF000000"/>
      <name val="&quot;Chulabhorn Likit Text Light๙&quot;"/>
    </font>
    <font>
      <sz val="14.0"/>
      <color rgb="FF000000"/>
      <name val="&quot;TH SarabunPSK&quot;"/>
    </font>
    <font>
      <sz val="11.0"/>
      <color rgb="FF252525"/>
      <name val="SarabunRegular"/>
    </font>
    <font>
      <color rgb="FF252525"/>
      <name val="Arial"/>
    </font>
    <font>
      <color theme="1"/>
      <name val="Sarabun"/>
    </font>
    <font>
      <sz val="14.0"/>
      <color theme="1"/>
      <name val="Sarabun"/>
    </font>
    <font>
      <sz val="14.0"/>
      <color theme="1"/>
      <name val="TH SarabunPSK"/>
    </font>
    <font>
      <sz val="9.0"/>
      <color rgb="FF999999"/>
      <name val="Arial"/>
    </font>
    <font>
      <sz val="14.0"/>
      <color theme="1"/>
      <name val="Calibri"/>
      <scheme val="minor"/>
    </font>
    <font>
      <sz val="16.0"/>
      <color rgb="FF000000"/>
      <name val="TH SarabunPSK"/>
    </font>
    <font>
      <sz val="13.0"/>
      <color rgb="FF000000"/>
      <name val="Sarabun"/>
    </font>
    <font>
      <sz val="13.0"/>
      <color theme="1"/>
      <name val="Calibri"/>
      <scheme val="minor"/>
    </font>
    <font>
      <sz val="11.0"/>
      <color rgb="FF000000"/>
      <name val="Calibri"/>
      <scheme val="minor"/>
    </font>
    <font>
      <color rgb="FFFFFFFF"/>
      <name val="Calibri"/>
    </font>
    <font>
      <sz val="11.0"/>
      <color rgb="FFFFFFFF"/>
      <name val="&quot;Chulabhorn Likit Text Light&quot;"/>
    </font>
    <font>
      <sz val="11.0"/>
      <color rgb="FF252525"/>
      <name val="Sarabun"/>
    </font>
    <font>
      <color rgb="FFFFFFFF"/>
      <name val="Calibri"/>
      <scheme val="minor"/>
    </font>
    <font>
      <sz val="11.0"/>
      <color rgb="FF00FF00"/>
      <name val="Sarabun"/>
    </font>
    <font>
      <color rgb="FF000000"/>
      <name val="Calibri"/>
      <scheme val="minor"/>
    </font>
    <font>
      <b/>
      <sz val="16.0"/>
      <color theme="1"/>
      <name val="TH Sarabun PSK"/>
    </font>
    <font>
      <sz val="16.0"/>
      <color theme="1"/>
      <name val="Calibri"/>
    </font>
    <font>
      <b/>
      <sz val="16.0"/>
      <color rgb="FF000000"/>
      <name val="Sarabun"/>
    </font>
    <font>
      <b/>
      <sz val="16.0"/>
      <color theme="1"/>
      <name val="TH SarabunPSK"/>
    </font>
    <font>
      <b/>
      <sz val="18.0"/>
      <color theme="1"/>
      <name val="TH Sarabun PSK"/>
    </font>
    <font>
      <sz val="18.0"/>
      <color theme="1"/>
      <name val="TH Sarabun PSK"/>
    </font>
    <font>
      <b/>
      <sz val="23.0"/>
      <color rgb="FF000000"/>
      <name val="TH Sarabun PSK"/>
    </font>
    <font>
      <b/>
      <sz val="23.0"/>
      <color theme="1"/>
      <name val="TH Sarabun PSK"/>
    </font>
    <font>
      <b/>
      <color theme="1"/>
      <name val="Calibri"/>
    </font>
    <font>
      <b/>
      <sz val="16.0"/>
      <color rgb="FF000000"/>
      <name val="TH Sarabun PSK"/>
    </font>
    <font>
      <sz val="11.0"/>
      <color rgb="FF000000"/>
      <name val="TH Sarabun PSK"/>
    </font>
    <font>
      <b/>
      <sz val="13.0"/>
      <color rgb="FF000000"/>
      <name val="TH Sarabun PSK"/>
    </font>
    <font>
      <b/>
      <sz val="16.0"/>
      <color rgb="FFFF0000"/>
      <name val="TH Sarabun PSK"/>
    </font>
    <font>
      <sz val="16.0"/>
      <color rgb="FF1F1F1F"/>
      <name val="TH Sarabun PSK"/>
    </font>
    <font>
      <b/>
      <sz val="13.0"/>
      <color theme="1"/>
      <name val="TH Sarabun PSK"/>
    </font>
    <font>
      <sz val="12.0"/>
      <color rgb="FFFFFFFF"/>
      <name val="TH Sarabun PSK"/>
    </font>
    <font>
      <sz val="12.0"/>
      <color theme="0"/>
      <name val="TH Sarabun PSK"/>
    </font>
    <font>
      <sz val="10.0"/>
      <color rgb="FF000000"/>
      <name val="Sarabun"/>
    </font>
    <font>
      <b/>
      <sz val="10.0"/>
      <color rgb="FF000000"/>
      <name val="Sarabun"/>
    </font>
  </fonts>
  <fills count="4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theme="9"/>
        <bgColor theme="9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rgb="FF70AD47"/>
        <bgColor rgb="FF70AD47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B45F06"/>
        <bgColor rgb="FFB45F06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0" fillId="0" fontId="6" numFmtId="0" xfId="0" applyAlignment="1" applyBorder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2" fillId="0" fontId="1" numFmtId="0" xfId="0" applyAlignment="1" applyBorder="1" applyFont="1">
      <alignment horizontal="center"/>
    </xf>
    <xf borderId="12" fillId="3" fontId="1" numFmtId="0" xfId="0" applyAlignment="1" applyBorder="1" applyFill="1" applyFont="1">
      <alignment horizontal="center"/>
    </xf>
    <xf borderId="12" fillId="0" fontId="6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0" fillId="0" fontId="2" numFmtId="164" xfId="0" applyAlignment="1" applyBorder="1" applyFont="1" applyNumberFormat="1">
      <alignment horizontal="center"/>
    </xf>
    <xf borderId="11" fillId="0" fontId="2" numFmtId="164" xfId="0" applyAlignment="1" applyBorder="1" applyFont="1" applyNumberFormat="1">
      <alignment horizontal="center"/>
    </xf>
    <xf borderId="14" fillId="0" fontId="7" numFmtId="0" xfId="0" applyAlignment="1" applyBorder="1" applyFont="1">
      <alignment horizontal="center"/>
    </xf>
    <xf borderId="14" fillId="4" fontId="8" numFmtId="0" xfId="0" applyAlignment="1" applyBorder="1" applyFill="1" applyFont="1">
      <alignment vertical="center"/>
    </xf>
    <xf borderId="14" fillId="0" fontId="7" numFmtId="165" xfId="0" applyAlignment="1" applyBorder="1" applyFont="1" applyNumberFormat="1">
      <alignment readingOrder="0" shrinkToFit="0" vertical="center" wrapText="1"/>
    </xf>
    <xf borderId="9" fillId="5" fontId="7" numFmtId="165" xfId="0" applyAlignment="1" applyBorder="1" applyFill="1" applyFont="1" applyNumberFormat="1">
      <alignment horizontal="left"/>
    </xf>
    <xf borderId="14" fillId="0" fontId="7" numFmtId="166" xfId="0" applyAlignment="1" applyBorder="1" applyFont="1" applyNumberFormat="1">
      <alignment horizontal="left" readingOrder="0"/>
    </xf>
    <xf borderId="14" fillId="0" fontId="7" numFmtId="165" xfId="0" applyAlignment="1" applyBorder="1" applyFont="1" applyNumberFormat="1">
      <alignment horizontal="center" readingOrder="0" shrinkToFit="0" vertical="center" wrapText="1"/>
    </xf>
    <xf borderId="14" fillId="0" fontId="7" numFmtId="3" xfId="0" applyAlignment="1" applyBorder="1" applyFont="1" applyNumberFormat="1">
      <alignment horizontal="right" shrinkToFit="0" vertical="center" wrapText="1"/>
    </xf>
    <xf borderId="14" fillId="0" fontId="7" numFmtId="165" xfId="0" applyAlignment="1" applyBorder="1" applyFont="1" applyNumberFormat="1">
      <alignment horizontal="right" readingOrder="0" shrinkToFit="0" vertical="center" wrapText="1"/>
    </xf>
    <xf borderId="9" fillId="5" fontId="7" numFmtId="167" xfId="0" applyAlignment="1" applyBorder="1" applyFont="1" applyNumberFormat="1">
      <alignment horizontal="left"/>
    </xf>
    <xf borderId="9" fillId="2" fontId="7" numFmtId="0" xfId="0" applyAlignment="1" applyBorder="1" applyFont="1">
      <alignment horizontal="left" shrinkToFit="0" vertical="bottom" wrapText="0"/>
    </xf>
    <xf borderId="14" fillId="4" fontId="8" numFmtId="0" xfId="0" applyAlignment="1" applyBorder="1" applyFont="1">
      <alignment horizontal="center" vertical="center"/>
    </xf>
    <xf borderId="14" fillId="0" fontId="7" numFmtId="165" xfId="0" applyAlignment="1" applyBorder="1" applyFont="1" applyNumberFormat="1">
      <alignment horizontal="center" shrinkToFit="0" vertical="center" wrapText="1"/>
    </xf>
    <xf borderId="14" fillId="0" fontId="7" numFmtId="167" xfId="0" applyAlignment="1" applyBorder="1" applyFont="1" applyNumberFormat="1">
      <alignment horizontal="center" shrinkToFit="0" vertical="center" wrapText="1"/>
    </xf>
    <xf borderId="9" fillId="2" fontId="7" numFmtId="167" xfId="0" applyAlignment="1" applyBorder="1" applyFont="1" applyNumberFormat="1">
      <alignment horizontal="center"/>
    </xf>
    <xf borderId="14" fillId="0" fontId="8" numFmtId="2" xfId="0" applyAlignment="1" applyBorder="1" applyFont="1" applyNumberFormat="1">
      <alignment horizontal="center"/>
    </xf>
    <xf borderId="0" fillId="0" fontId="8" numFmtId="0" xfId="0" applyFont="1"/>
    <xf borderId="15" fillId="4" fontId="8" numFmtId="0" xfId="0" applyAlignment="1" applyBorder="1" applyFont="1">
      <alignment vertical="center"/>
    </xf>
    <xf borderId="13" fillId="0" fontId="7" numFmtId="165" xfId="0" applyAlignment="1" applyBorder="1" applyFont="1" applyNumberFormat="1">
      <alignment horizontal="left" readingOrder="0"/>
    </xf>
    <xf borderId="13" fillId="0" fontId="7" numFmtId="166" xfId="0" applyAlignment="1" applyBorder="1" applyFont="1" applyNumberFormat="1">
      <alignment horizontal="left" readingOrder="0"/>
    </xf>
    <xf borderId="14" fillId="2" fontId="7" numFmtId="3" xfId="0" applyAlignment="1" applyBorder="1" applyFont="1" applyNumberFormat="1">
      <alignment horizontal="right" readingOrder="0" shrinkToFit="0" vertical="center" wrapText="1"/>
    </xf>
    <xf borderId="14" fillId="0" fontId="7" numFmtId="165" xfId="0" applyAlignment="1" applyBorder="1" applyFont="1" applyNumberFormat="1">
      <alignment horizontal="right" shrinkToFit="0" vertical="center" wrapText="1"/>
    </xf>
    <xf borderId="14" fillId="0" fontId="7" numFmtId="4" xfId="0" applyAlignment="1" applyBorder="1" applyFont="1" applyNumberFormat="1">
      <alignment horizontal="right" shrinkToFit="0" vertical="bottom" wrapText="0"/>
    </xf>
    <xf borderId="9" fillId="3" fontId="7" numFmtId="167" xfId="0" applyAlignment="1" applyBorder="1" applyFont="1" applyNumberFormat="1">
      <alignment horizontal="left"/>
    </xf>
    <xf borderId="15" fillId="4" fontId="8" numFmtId="0" xfId="0" applyAlignment="1" applyBorder="1" applyFont="1">
      <alignment horizontal="center" vertical="center"/>
    </xf>
    <xf borderId="14" fillId="2" fontId="7" numFmtId="3" xfId="0" applyAlignment="1" applyBorder="1" applyFont="1" applyNumberFormat="1">
      <alignment horizontal="right" shrinkToFit="0" vertical="center" wrapText="1"/>
    </xf>
    <xf borderId="14" fillId="0" fontId="7" numFmtId="4" xfId="0" applyAlignment="1" applyBorder="1" applyFont="1" applyNumberFormat="1">
      <alignment horizontal="right" shrinkToFit="0" vertical="center" wrapText="1"/>
    </xf>
    <xf borderId="16" fillId="4" fontId="8" numFmtId="0" xfId="0" applyAlignment="1" applyBorder="1" applyFont="1">
      <alignment vertical="center"/>
    </xf>
    <xf borderId="16" fillId="4" fontId="8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/>
    </xf>
    <xf borderId="12" fillId="0" fontId="7" numFmtId="166" xfId="0" applyAlignment="1" applyBorder="1" applyFont="1" applyNumberFormat="1">
      <alignment horizontal="right"/>
    </xf>
    <xf borderId="12" fillId="5" fontId="7" numFmtId="3" xfId="0" applyAlignment="1" applyBorder="1" applyFont="1" applyNumberFormat="1">
      <alignment horizontal="right"/>
    </xf>
    <xf borderId="12" fillId="0" fontId="7" numFmtId="3" xfId="0" applyAlignment="1" applyBorder="1" applyFont="1" applyNumberFormat="1">
      <alignment horizontal="right"/>
    </xf>
    <xf borderId="12" fillId="2" fontId="7" numFmtId="3" xfId="0" applyAlignment="1" applyBorder="1" applyFont="1" applyNumberFormat="1">
      <alignment horizontal="right"/>
    </xf>
    <xf borderId="12" fillId="0" fontId="7" numFmtId="166" xfId="0" applyAlignment="1" applyBorder="1" applyFont="1" applyNumberFormat="1">
      <alignment horizontal="center"/>
    </xf>
    <xf borderId="0" fillId="3" fontId="4" numFmtId="0" xfId="0" applyFont="1"/>
    <xf borderId="1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2" fillId="0" fontId="9" numFmtId="0" xfId="0" applyAlignment="1" applyBorder="1" applyFont="1">
      <alignment horizontal="center"/>
    </xf>
    <xf borderId="12" fillId="3" fontId="9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10" fillId="0" fontId="8" numFmtId="164" xfId="0" applyAlignment="1" applyBorder="1" applyFont="1" applyNumberFormat="1">
      <alignment horizontal="center"/>
    </xf>
    <xf borderId="11" fillId="0" fontId="4" numFmtId="164" xfId="0" applyAlignment="1" applyBorder="1" applyFont="1" applyNumberFormat="1">
      <alignment horizontal="center"/>
    </xf>
    <xf borderId="11" fillId="0" fontId="8" numFmtId="164" xfId="0" applyAlignment="1" applyBorder="1" applyFont="1" applyNumberFormat="1">
      <alignment horizontal="center"/>
    </xf>
    <xf borderId="14" fillId="0" fontId="7" numFmtId="3" xfId="0" applyAlignment="1" applyBorder="1" applyFont="1" applyNumberFormat="1">
      <alignment horizontal="right" readingOrder="0" shrinkToFit="0" vertical="center" wrapText="1"/>
    </xf>
    <xf borderId="14" fillId="0" fontId="7" numFmtId="165" xfId="0" applyAlignment="1" applyBorder="1" applyFont="1" applyNumberFormat="1">
      <alignment readingOrder="0"/>
    </xf>
    <xf borderId="14" fillId="0" fontId="7" numFmtId="165" xfId="0" applyAlignment="1" applyBorder="1" applyFont="1" applyNumberFormat="1">
      <alignment horizontal="right" shrinkToFit="0" vertical="bottom" wrapText="0"/>
    </xf>
    <xf borderId="14" fillId="0" fontId="7" numFmtId="167" xfId="0" applyAlignment="1" applyBorder="1" applyFont="1" applyNumberFormat="1">
      <alignment horizontal="right" shrinkToFit="0" vertical="bottom" wrapText="0"/>
    </xf>
    <xf borderId="0" fillId="0" fontId="8" numFmtId="0" xfId="0" applyAlignment="1" applyFont="1">
      <alignment readingOrder="0"/>
    </xf>
    <xf borderId="14" fillId="0" fontId="7" numFmtId="166" xfId="0" applyBorder="1" applyFont="1" applyNumberFormat="1"/>
    <xf borderId="9" fillId="3" fontId="7" numFmtId="165" xfId="0" applyAlignment="1" applyBorder="1" applyFont="1" applyNumberFormat="1">
      <alignment horizontal="left"/>
    </xf>
    <xf borderId="14" fillId="2" fontId="7" numFmtId="165" xfId="0" applyAlignment="1" applyBorder="1" applyFont="1" applyNumberFormat="1">
      <alignment horizontal="center" shrinkToFit="0" vertical="center" wrapText="1"/>
    </xf>
    <xf borderId="9" fillId="2" fontId="7" numFmtId="166" xfId="0" applyAlignment="1" applyBorder="1" applyFont="1" applyNumberFormat="1">
      <alignment horizontal="right"/>
    </xf>
    <xf borderId="14" fillId="2" fontId="7" numFmtId="165" xfId="0" applyAlignment="1" applyBorder="1" applyFont="1" applyNumberFormat="1">
      <alignment horizontal="right" shrinkToFit="0" vertical="center" wrapText="1"/>
    </xf>
    <xf borderId="14" fillId="2" fontId="8" numFmtId="166" xfId="0" applyAlignment="1" applyBorder="1" applyFont="1" applyNumberFormat="1">
      <alignment horizontal="center" vertical="center"/>
    </xf>
    <xf borderId="0" fillId="0" fontId="11" numFmtId="0" xfId="0" applyFont="1"/>
    <xf borderId="12" fillId="3" fontId="7" numFmtId="3" xfId="0" applyAlignment="1" applyBorder="1" applyFont="1" applyNumberFormat="1">
      <alignment horizontal="right"/>
    </xf>
    <xf borderId="12" fillId="5" fontId="7" numFmtId="4" xfId="0" applyAlignment="1" applyBorder="1" applyFont="1" applyNumberFormat="1">
      <alignment horizontal="right"/>
    </xf>
    <xf borderId="4" fillId="0" fontId="1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12" fillId="3" fontId="6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14" fillId="0" fontId="8" numFmtId="165" xfId="0" applyAlignment="1" applyBorder="1" applyFont="1" applyNumberFormat="1">
      <alignment horizontal="left" shrinkToFit="0" vertical="bottom" wrapText="0"/>
    </xf>
    <xf borderId="14" fillId="5" fontId="7" numFmtId="165" xfId="0" applyAlignment="1" applyBorder="1" applyFont="1" applyNumberFormat="1">
      <alignment horizontal="left"/>
    </xf>
    <xf borderId="14" fillId="0" fontId="7" numFmtId="166" xfId="0" applyAlignment="1" applyBorder="1" applyFont="1" applyNumberFormat="1">
      <alignment readingOrder="0"/>
    </xf>
    <xf borderId="14" fillId="2" fontId="7" numFmtId="165" xfId="0" applyAlignment="1" applyBorder="1" applyFont="1" applyNumberFormat="1">
      <alignment horizontal="left"/>
    </xf>
    <xf borderId="14" fillId="3" fontId="7" numFmtId="165" xfId="0" applyAlignment="1" applyBorder="1" applyFont="1" applyNumberFormat="1">
      <alignment horizontal="left"/>
    </xf>
    <xf borderId="0" fillId="3" fontId="14" numFmtId="0" xfId="0" applyFont="1"/>
    <xf borderId="2" fillId="0" fontId="9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4" fillId="0" fontId="17" numFmtId="4" xfId="0" applyAlignment="1" applyBorder="1" applyFont="1" applyNumberFormat="1">
      <alignment horizontal="right" shrinkToFit="0" vertical="center" wrapText="1"/>
    </xf>
    <xf borderId="9" fillId="6" fontId="7" numFmtId="167" xfId="0" applyAlignment="1" applyBorder="1" applyFill="1" applyFont="1" applyNumberFormat="1">
      <alignment horizontal="left"/>
    </xf>
    <xf borderId="14" fillId="0" fontId="7" numFmtId="167" xfId="0" applyBorder="1" applyFont="1" applyNumberFormat="1"/>
    <xf borderId="14" fillId="0" fontId="7" numFmtId="165" xfId="0" applyBorder="1" applyFont="1" applyNumberFormat="1"/>
    <xf borderId="0" fillId="0" fontId="8" numFmtId="167" xfId="0" applyAlignment="1" applyFont="1" applyNumberFormat="1">
      <alignment horizontal="left" shrinkToFit="0" vertical="bottom" wrapText="0"/>
    </xf>
    <xf borderId="9" fillId="0" fontId="7" numFmtId="165" xfId="0" applyAlignment="1" applyBorder="1" applyFont="1" applyNumberFormat="1">
      <alignment horizontal="left"/>
    </xf>
    <xf borderId="0" fillId="0" fontId="8" numFmtId="0" xfId="0" applyAlignment="1" applyFont="1">
      <alignment horizontal="left"/>
    </xf>
    <xf borderId="14" fillId="0" fontId="7" numFmtId="165" xfId="0" applyAlignment="1" applyBorder="1" applyFont="1" applyNumberFormat="1">
      <alignment horizontal="left"/>
    </xf>
    <xf borderId="14" fillId="0" fontId="7" numFmtId="165" xfId="0" applyAlignment="1" applyBorder="1" applyFont="1" applyNumberFormat="1">
      <alignment horizontal="left" readingOrder="0"/>
    </xf>
    <xf borderId="12" fillId="6" fontId="7" numFmtId="4" xfId="0" applyAlignment="1" applyBorder="1" applyFont="1" applyNumberFormat="1">
      <alignment horizontal="right"/>
    </xf>
    <xf borderId="10" fillId="0" fontId="4" numFmtId="164" xfId="0" applyAlignment="1" applyBorder="1" applyFont="1" applyNumberFormat="1">
      <alignment horizontal="center"/>
    </xf>
    <xf borderId="14" fillId="0" fontId="13" numFmtId="0" xfId="0" applyAlignment="1" applyBorder="1" applyFont="1">
      <alignment horizontal="center"/>
    </xf>
    <xf borderId="14" fillId="4" fontId="4" numFmtId="0" xfId="0" applyAlignment="1" applyBorder="1" applyFont="1">
      <alignment vertical="center"/>
    </xf>
    <xf borderId="14" fillId="0" fontId="13" numFmtId="165" xfId="0" applyBorder="1" applyFont="1" applyNumberFormat="1"/>
    <xf borderId="14" fillId="0" fontId="4" numFmtId="165" xfId="0" applyAlignment="1" applyBorder="1" applyFont="1" applyNumberFormat="1">
      <alignment horizontal="left" shrinkToFit="0" vertical="bottom" wrapText="0"/>
    </xf>
    <xf borderId="14" fillId="7" fontId="13" numFmtId="165" xfId="0" applyAlignment="1" applyBorder="1" applyFill="1" applyFont="1" applyNumberFormat="1">
      <alignment horizontal="left"/>
    </xf>
    <xf borderId="0" fillId="0" fontId="4" numFmtId="167" xfId="0" applyAlignment="1" applyFont="1" applyNumberFormat="1">
      <alignment horizontal="left" shrinkToFit="0" vertical="bottom" wrapText="0"/>
    </xf>
    <xf borderId="9" fillId="7" fontId="13" numFmtId="165" xfId="0" applyAlignment="1" applyBorder="1" applyFont="1" applyNumberFormat="1">
      <alignment horizontal="left"/>
    </xf>
    <xf borderId="14" fillId="7" fontId="13" numFmtId="165" xfId="0" applyBorder="1" applyFont="1" applyNumberFormat="1"/>
    <xf borderId="0" fillId="7" fontId="4" numFmtId="167" xfId="0" applyAlignment="1" applyFont="1" applyNumberFormat="1">
      <alignment horizontal="left" shrinkToFit="0" vertical="bottom" wrapText="0"/>
    </xf>
    <xf borderId="15" fillId="4" fontId="4" numFmtId="0" xfId="0" applyAlignment="1" applyBorder="1" applyFont="1">
      <alignment vertical="center"/>
    </xf>
    <xf borderId="14" fillId="2" fontId="13" numFmtId="165" xfId="0" applyAlignment="1" applyBorder="1" applyFont="1" applyNumberFormat="1">
      <alignment horizontal="left"/>
    </xf>
    <xf borderId="14" fillId="3" fontId="13" numFmtId="165" xfId="0" applyAlignment="1" applyBorder="1" applyFont="1" applyNumberFormat="1">
      <alignment horizontal="left"/>
    </xf>
    <xf borderId="16" fillId="4" fontId="4" numFmtId="0" xfId="0" applyAlignment="1" applyBorder="1" applyFont="1">
      <alignment vertical="center"/>
    </xf>
    <xf borderId="12" fillId="0" fontId="13" numFmtId="166" xfId="0" applyAlignment="1" applyBorder="1" applyFont="1" applyNumberFormat="1">
      <alignment horizontal="right"/>
    </xf>
    <xf borderId="12" fillId="3" fontId="13" numFmtId="3" xfId="0" applyAlignment="1" applyBorder="1" applyFont="1" applyNumberFormat="1">
      <alignment horizontal="right"/>
    </xf>
    <xf borderId="12" fillId="0" fontId="13" numFmtId="3" xfId="0" applyAlignment="1" applyBorder="1" applyFont="1" applyNumberFormat="1">
      <alignment horizontal="right"/>
    </xf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1" fillId="8" fontId="18" numFmtId="0" xfId="0" applyAlignment="1" applyBorder="1" applyFill="1" applyFont="1">
      <alignment horizontal="center" vertical="center"/>
    </xf>
    <xf borderId="2" fillId="9" fontId="20" numFmtId="0" xfId="0" applyAlignment="1" applyBorder="1" applyFill="1" applyFont="1">
      <alignment horizontal="center" readingOrder="0" shrinkToFit="0" vertical="center" wrapText="1"/>
    </xf>
    <xf borderId="4" fillId="10" fontId="21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1" fillId="11" fontId="22" numFmtId="0" xfId="0" applyAlignment="1" applyBorder="1" applyFill="1" applyFont="1">
      <alignment horizontal="center" vertical="center"/>
    </xf>
    <xf borderId="4" fillId="11" fontId="23" numFmtId="0" xfId="0" applyAlignment="1" applyBorder="1" applyFont="1">
      <alignment horizontal="center" shrinkToFit="0" vertical="center" wrapText="1"/>
    </xf>
    <xf borderId="2" fillId="9" fontId="18" numFmtId="0" xfId="0" applyAlignment="1" applyBorder="1" applyFont="1">
      <alignment horizontal="center" readingOrder="0" vertical="center"/>
    </xf>
    <xf borderId="0" fillId="10" fontId="18" numFmtId="0" xfId="0" applyAlignment="1" applyFont="1">
      <alignment horizontal="center" readingOrder="0" vertical="center"/>
    </xf>
    <xf borderId="0" fillId="12" fontId="18" numFmtId="0" xfId="0" applyAlignment="1" applyFill="1" applyFont="1">
      <alignment horizontal="center" readingOrder="0" vertical="center"/>
    </xf>
    <xf borderId="7" fillId="13" fontId="18" numFmtId="0" xfId="0" applyAlignment="1" applyBorder="1" applyFill="1" applyFont="1">
      <alignment horizontal="center" readingOrder="0" vertical="center"/>
    </xf>
    <xf borderId="10" fillId="11" fontId="22" numFmtId="0" xfId="0" applyAlignment="1" applyBorder="1" applyFont="1">
      <alignment horizontal="center"/>
    </xf>
    <xf borderId="12" fillId="14" fontId="18" numFmtId="0" xfId="0" applyAlignment="1" applyBorder="1" applyFill="1" applyFont="1">
      <alignment horizontal="center" vertical="center"/>
    </xf>
    <xf borderId="12" fillId="11" fontId="22" numFmtId="0" xfId="0" applyAlignment="1" applyBorder="1" applyFont="1">
      <alignment horizontal="center"/>
    </xf>
    <xf borderId="14" fillId="11" fontId="24" numFmtId="0" xfId="0" applyAlignment="1" applyBorder="1" applyFont="1">
      <alignment vertical="center"/>
    </xf>
    <xf borderId="14" fillId="8" fontId="18" numFmtId="0" xfId="0" applyAlignment="1" applyBorder="1" applyFont="1">
      <alignment horizontal="center" vertical="center"/>
    </xf>
    <xf borderId="14" fillId="8" fontId="25" numFmtId="0" xfId="0" applyAlignment="1" applyBorder="1" applyFont="1">
      <alignment vertical="center"/>
    </xf>
    <xf borderId="9" fillId="2" fontId="18" numFmtId="165" xfId="0" applyAlignment="1" applyBorder="1" applyFont="1" applyNumberFormat="1">
      <alignment horizontal="left" vertical="center"/>
    </xf>
    <xf borderId="14" fillId="2" fontId="25" numFmtId="166" xfId="0" applyAlignment="1" applyBorder="1" applyFont="1" applyNumberFormat="1">
      <alignment horizontal="center" vertical="center"/>
    </xf>
    <xf borderId="9" fillId="2" fontId="18" numFmtId="166" xfId="0" applyAlignment="1" applyBorder="1" applyFont="1" applyNumberFormat="1">
      <alignment horizontal="right" readingOrder="0" vertical="center"/>
    </xf>
    <xf borderId="9" fillId="2" fontId="18" numFmtId="166" xfId="0" applyAlignment="1" applyBorder="1" applyFont="1" applyNumberFormat="1">
      <alignment horizontal="right" vertical="center"/>
    </xf>
    <xf borderId="9" fillId="15" fontId="18" numFmtId="165" xfId="0" applyAlignment="1" applyBorder="1" applyFill="1" applyFont="1" applyNumberFormat="1">
      <alignment horizontal="left" vertical="center"/>
    </xf>
    <xf borderId="14" fillId="2" fontId="25" numFmtId="166" xfId="0" applyAlignment="1" applyBorder="1" applyFont="1" applyNumberFormat="1">
      <alignment horizontal="center" readingOrder="0" vertical="center"/>
    </xf>
    <xf borderId="9" fillId="16" fontId="18" numFmtId="165" xfId="0" applyAlignment="1" applyBorder="1" applyFill="1" applyFont="1" applyNumberFormat="1">
      <alignment horizontal="left" vertical="center"/>
    </xf>
    <xf borderId="10" fillId="0" fontId="18" numFmtId="0" xfId="0" applyAlignment="1" applyBorder="1" applyFont="1">
      <alignment horizontal="center"/>
    </xf>
    <xf borderId="10" fillId="0" fontId="25" numFmtId="164" xfId="0" applyAlignment="1" applyBorder="1" applyFont="1" applyNumberFormat="1">
      <alignment horizontal="center"/>
    </xf>
    <xf borderId="14" fillId="0" fontId="19" numFmtId="0" xfId="0" applyAlignment="1" applyBorder="1" applyFont="1">
      <alignment vertical="center"/>
    </xf>
    <xf borderId="15" fillId="8" fontId="25" numFmtId="0" xfId="0" applyAlignment="1" applyBorder="1" applyFont="1">
      <alignment vertical="center"/>
    </xf>
    <xf borderId="9" fillId="2" fontId="18" numFmtId="165" xfId="0" applyAlignment="1" applyBorder="1" applyFont="1" applyNumberFormat="1">
      <alignment horizontal="left" readingOrder="0" vertical="center"/>
    </xf>
    <xf borderId="14" fillId="10" fontId="18" numFmtId="0" xfId="0" applyAlignment="1" applyBorder="1" applyFont="1">
      <alignment horizontal="center"/>
    </xf>
    <xf borderId="14" fillId="0" fontId="26" numFmtId="165" xfId="0" applyBorder="1" applyFont="1" applyNumberFormat="1"/>
    <xf borderId="14" fillId="2" fontId="18" numFmtId="166" xfId="0" applyAlignment="1" applyBorder="1" applyFont="1" applyNumberFormat="1">
      <alignment horizontal="right"/>
    </xf>
    <xf borderId="14" fillId="2" fontId="18" numFmtId="165" xfId="0" applyAlignment="1" applyBorder="1" applyFont="1" applyNumberFormat="1">
      <alignment horizontal="left"/>
    </xf>
    <xf borderId="14" fillId="0" fontId="19" numFmtId="2" xfId="0" applyAlignment="1" applyBorder="1" applyFont="1" applyNumberFormat="1">
      <alignment vertical="center"/>
    </xf>
    <xf borderId="0" fillId="0" fontId="19" numFmtId="0" xfId="0" applyAlignment="1" applyFont="1">
      <alignment readingOrder="0" vertical="center"/>
    </xf>
    <xf borderId="0" fillId="0" fontId="19" numFmtId="168" xfId="0" applyAlignment="1" applyFont="1" applyNumberFormat="1">
      <alignment vertical="center"/>
    </xf>
    <xf borderId="9" fillId="5" fontId="18" numFmtId="165" xfId="0" applyAlignment="1" applyBorder="1" applyFont="1" applyNumberFormat="1">
      <alignment horizontal="left" vertical="center"/>
    </xf>
    <xf borderId="9" fillId="17" fontId="18" numFmtId="165" xfId="0" applyAlignment="1" applyBorder="1" applyFill="1" applyFont="1" applyNumberFormat="1">
      <alignment horizontal="left" vertical="center"/>
    </xf>
    <xf borderId="14" fillId="8" fontId="18" numFmtId="0" xfId="0" applyAlignment="1" applyBorder="1" applyFont="1">
      <alignment horizontal="center" readingOrder="0" vertical="center"/>
    </xf>
    <xf borderId="10" fillId="18" fontId="18" numFmtId="0" xfId="0" applyAlignment="1" applyBorder="1" applyFill="1" applyFont="1">
      <alignment horizontal="center" vertical="center"/>
    </xf>
    <xf borderId="12" fillId="18" fontId="18" numFmtId="166" xfId="0" applyAlignment="1" applyBorder="1" applyFont="1" applyNumberFormat="1">
      <alignment horizontal="right" vertical="center"/>
    </xf>
    <xf borderId="9" fillId="18" fontId="18" numFmtId="165" xfId="0" applyAlignment="1" applyBorder="1" applyFont="1" applyNumberFormat="1">
      <alignment horizontal="left" vertical="center"/>
    </xf>
    <xf borderId="12" fillId="18" fontId="18" numFmtId="3" xfId="0" applyAlignment="1" applyBorder="1" applyFont="1" applyNumberFormat="1">
      <alignment horizontal="right" vertical="center"/>
    </xf>
    <xf borderId="14" fillId="18" fontId="25" numFmtId="166" xfId="0" applyAlignment="1" applyBorder="1" applyFont="1" applyNumberFormat="1">
      <alignment horizontal="center" readingOrder="0" vertical="center"/>
    </xf>
    <xf borderId="0" fillId="0" fontId="25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19" numFmtId="165" xfId="0" applyAlignment="1" applyFont="1" applyNumberFormat="1">
      <alignment vertical="center"/>
    </xf>
    <xf borderId="0" fillId="6" fontId="28" numFmtId="0" xfId="0" applyAlignment="1" applyFont="1">
      <alignment readingOrder="0"/>
    </xf>
    <xf borderId="0" fillId="6" fontId="28" numFmtId="0" xfId="0" applyAlignment="1" applyFont="1">
      <alignment readingOrder="0" vertical="top"/>
    </xf>
    <xf borderId="4" fillId="19" fontId="20" numFmtId="0" xfId="0" applyAlignment="1" applyBorder="1" applyFill="1" applyFont="1">
      <alignment horizontal="center" readingOrder="0"/>
    </xf>
    <xf borderId="0" fillId="6" fontId="28" numFmtId="0" xfId="0" applyAlignment="1" applyFont="1">
      <alignment horizontal="center" readingOrder="0" vertical="top"/>
    </xf>
    <xf borderId="17" fillId="19" fontId="29" numFmtId="0" xfId="0" applyAlignment="1" applyBorder="1" applyFont="1">
      <alignment horizontal="center"/>
    </xf>
    <xf borderId="12" fillId="20" fontId="18" numFmtId="0" xfId="0" applyAlignment="1" applyBorder="1" applyFill="1" applyFont="1">
      <alignment horizontal="center" vertical="center"/>
    </xf>
    <xf borderId="0" fillId="0" fontId="30" numFmtId="4" xfId="0" applyAlignment="1" applyFont="1" applyNumberFormat="1">
      <alignment horizontal="right" vertical="top"/>
    </xf>
    <xf borderId="9" fillId="0" fontId="25" numFmtId="165" xfId="0" applyAlignment="1" applyBorder="1" applyFont="1" applyNumberFormat="1">
      <alignment readingOrder="0"/>
    </xf>
    <xf borderId="9" fillId="15" fontId="18" numFmtId="165" xfId="0" applyAlignment="1" applyBorder="1" applyFont="1" applyNumberFormat="1">
      <alignment horizontal="center" readingOrder="0" vertical="center"/>
    </xf>
    <xf borderId="0" fillId="15" fontId="31" numFmtId="165" xfId="0" applyAlignment="1" applyFont="1" applyNumberFormat="1">
      <alignment horizontal="center" readingOrder="0"/>
    </xf>
    <xf borderId="9" fillId="15" fontId="18" numFmtId="165" xfId="0" applyAlignment="1" applyBorder="1" applyFont="1" applyNumberFormat="1">
      <alignment horizontal="left" readingOrder="0" vertical="center"/>
    </xf>
    <xf borderId="0" fillId="18" fontId="32" numFmtId="166" xfId="0" applyAlignment="1" applyFont="1" applyNumberFormat="1">
      <alignment vertical="center"/>
    </xf>
    <xf borderId="12" fillId="18" fontId="25" numFmtId="166" xfId="0" applyAlignment="1" applyBorder="1" applyFont="1" applyNumberFormat="1">
      <alignment horizontal="right"/>
    </xf>
    <xf borderId="14" fillId="18" fontId="18" numFmtId="3" xfId="0" applyAlignment="1" applyBorder="1" applyFont="1" applyNumberFormat="1">
      <alignment horizontal="right" vertical="center"/>
    </xf>
    <xf borderId="0" fillId="0" fontId="33" numFmtId="0" xfId="0" applyAlignment="1" applyFont="1">
      <alignment vertical="center"/>
    </xf>
    <xf borderId="0" fillId="0" fontId="32" numFmtId="0" xfId="0" applyAlignment="1" applyFont="1">
      <alignment vertical="center"/>
    </xf>
    <xf borderId="4" fillId="20" fontId="28" numFmtId="0" xfId="0" applyAlignment="1" applyBorder="1" applyFont="1">
      <alignment readingOrder="0" vertical="top"/>
    </xf>
    <xf borderId="17" fillId="19" fontId="29" numFmtId="0" xfId="0" applyAlignment="1" applyBorder="1" applyFont="1">
      <alignment horizontal="center" readingOrder="0"/>
    </xf>
    <xf borderId="7" fillId="13" fontId="18" numFmtId="0" xfId="0" applyAlignment="1" applyBorder="1" applyFont="1">
      <alignment horizontal="center" vertical="center"/>
    </xf>
    <xf borderId="0" fillId="0" fontId="34" numFmtId="4" xfId="0" applyAlignment="1" applyFont="1" applyNumberFormat="1">
      <alignment readingOrder="0"/>
    </xf>
    <xf borderId="9" fillId="3" fontId="18" numFmtId="165" xfId="0" applyAlignment="1" applyBorder="1" applyFont="1" applyNumberFormat="1">
      <alignment horizontal="left" vertical="center"/>
    </xf>
    <xf borderId="14" fillId="3" fontId="18" numFmtId="165" xfId="0" applyAlignment="1" applyBorder="1" applyFont="1" applyNumberFormat="1">
      <alignment horizontal="left" vertical="center"/>
    </xf>
    <xf borderId="8" fillId="15" fontId="18" numFmtId="165" xfId="0" applyAlignment="1" applyBorder="1" applyFont="1" applyNumberFormat="1">
      <alignment horizontal="left" vertical="center"/>
    </xf>
    <xf borderId="0" fillId="0" fontId="34" numFmtId="4" xfId="0" applyAlignment="1" applyFont="1" applyNumberFormat="1">
      <alignment horizontal="right" readingOrder="0" vertical="top"/>
    </xf>
    <xf borderId="8" fillId="3" fontId="18" numFmtId="165" xfId="0" applyAlignment="1" applyBorder="1" applyFont="1" applyNumberFormat="1">
      <alignment horizontal="left" vertical="center"/>
    </xf>
    <xf borderId="14" fillId="3" fontId="18" numFmtId="166" xfId="0" applyAlignment="1" applyBorder="1" applyFont="1" applyNumberFormat="1">
      <alignment horizontal="right" readingOrder="0" vertical="center"/>
    </xf>
    <xf borderId="14" fillId="3" fontId="18" numFmtId="166" xfId="0" applyAlignment="1" applyBorder="1" applyFont="1" applyNumberFormat="1">
      <alignment horizontal="right" vertical="center"/>
    </xf>
    <xf borderId="14" fillId="0" fontId="26" numFmtId="0" xfId="0" applyBorder="1" applyFont="1"/>
    <xf borderId="9" fillId="21" fontId="18" numFmtId="165" xfId="0" applyAlignment="1" applyBorder="1" applyFill="1" applyFont="1" applyNumberFormat="1">
      <alignment horizontal="left" vertical="center"/>
    </xf>
    <xf borderId="14" fillId="2" fontId="18" numFmtId="166" xfId="0" applyAlignment="1" applyBorder="1" applyFont="1" applyNumberFormat="1">
      <alignment horizontal="right" readingOrder="0" vertical="center"/>
    </xf>
    <xf borderId="14" fillId="15" fontId="18" numFmtId="165" xfId="0" applyAlignment="1" applyBorder="1" applyFont="1" applyNumberFormat="1">
      <alignment horizontal="left" vertical="center"/>
    </xf>
    <xf borderId="8" fillId="16" fontId="18" numFmtId="165" xfId="0" applyAlignment="1" applyBorder="1" applyFont="1" applyNumberFormat="1">
      <alignment horizontal="left" vertical="center"/>
    </xf>
    <xf borderId="14" fillId="2" fontId="18" numFmtId="166" xfId="0" applyAlignment="1" applyBorder="1" applyFont="1" applyNumberFormat="1">
      <alignment horizontal="right" vertical="center"/>
    </xf>
    <xf borderId="8" fillId="15" fontId="18" numFmtId="165" xfId="0" applyAlignment="1" applyBorder="1" applyFont="1" applyNumberFormat="1">
      <alignment horizontal="left" readingOrder="0" vertical="center"/>
    </xf>
    <xf borderId="14" fillId="15" fontId="18" numFmtId="165" xfId="0" applyAlignment="1" applyBorder="1" applyFont="1" applyNumberFormat="1">
      <alignment horizontal="left" readingOrder="0" vertical="center"/>
    </xf>
    <xf borderId="8" fillId="15" fontId="18" numFmtId="165" xfId="0" applyAlignment="1" applyBorder="1" applyFont="1" applyNumberFormat="1">
      <alignment horizontal="center" readingOrder="0" vertical="center"/>
    </xf>
    <xf borderId="9" fillId="18" fontId="18" numFmtId="165" xfId="0" applyAlignment="1" applyBorder="1" applyFont="1" applyNumberFormat="1">
      <alignment horizontal="center" readingOrder="0" vertical="center"/>
    </xf>
    <xf borderId="9" fillId="18" fontId="18" numFmtId="165" xfId="0" applyAlignment="1" applyBorder="1" applyFont="1" applyNumberFormat="1">
      <alignment horizontal="left" readingOrder="0" vertical="center"/>
    </xf>
    <xf borderId="9" fillId="18" fontId="18" numFmtId="166" xfId="0" applyAlignment="1" applyBorder="1" applyFont="1" applyNumberFormat="1">
      <alignment horizontal="right" readingOrder="0" vertical="center"/>
    </xf>
    <xf borderId="12" fillId="18" fontId="18" numFmtId="166" xfId="0" applyAlignment="1" applyBorder="1" applyFont="1" applyNumberFormat="1">
      <alignment horizontal="right" readingOrder="0" vertical="center"/>
    </xf>
    <xf borderId="8" fillId="18" fontId="18" numFmtId="165" xfId="0" applyAlignment="1" applyBorder="1" applyFont="1" applyNumberFormat="1">
      <alignment horizontal="left" vertical="center"/>
    </xf>
    <xf borderId="14" fillId="18" fontId="18" numFmtId="166" xfId="0" applyAlignment="1" applyBorder="1" applyFont="1" applyNumberFormat="1">
      <alignment horizontal="right" readingOrder="0" vertical="center"/>
    </xf>
    <xf borderId="14" fillId="18" fontId="18" numFmtId="165" xfId="0" applyAlignment="1" applyBorder="1" applyFont="1" applyNumberFormat="1">
      <alignment horizontal="left" vertical="center"/>
    </xf>
    <xf borderId="0" fillId="22" fontId="35" numFmtId="0" xfId="0" applyAlignment="1" applyFill="1" applyFont="1">
      <alignment horizontal="center" readingOrder="0"/>
    </xf>
    <xf borderId="14" fillId="2" fontId="18" numFmtId="165" xfId="0" applyAlignment="1" applyBorder="1" applyFont="1" applyNumberFormat="1">
      <alignment horizontal="left" vertical="center"/>
    </xf>
    <xf borderId="13" fillId="15" fontId="18" numFmtId="165" xfId="0" applyAlignment="1" applyBorder="1" applyFont="1" applyNumberFormat="1">
      <alignment horizontal="left" vertical="center"/>
    </xf>
    <xf borderId="13" fillId="3" fontId="18" numFmtId="165" xfId="0" applyAlignment="1" applyBorder="1" applyFont="1" applyNumberFormat="1">
      <alignment horizontal="left" vertical="center"/>
    </xf>
    <xf borderId="13" fillId="2" fontId="18" numFmtId="165" xfId="0" applyAlignment="1" applyBorder="1" applyFont="1" applyNumberFormat="1">
      <alignment horizontal="left" vertical="center"/>
    </xf>
    <xf borderId="9" fillId="3" fontId="18" numFmtId="166" xfId="0" applyAlignment="1" applyBorder="1" applyFont="1" applyNumberFormat="1">
      <alignment horizontal="right" readingOrder="0" vertical="center"/>
    </xf>
    <xf borderId="13" fillId="3" fontId="18" numFmtId="165" xfId="0" applyAlignment="1" applyBorder="1" applyFont="1" applyNumberFormat="1">
      <alignment horizontal="left" readingOrder="0" vertical="center"/>
    </xf>
    <xf borderId="13" fillId="15" fontId="18" numFmtId="165" xfId="0" applyAlignment="1" applyBorder="1" applyFont="1" applyNumberFormat="1">
      <alignment horizontal="left" readingOrder="0" vertical="center"/>
    </xf>
    <xf borderId="13" fillId="18" fontId="18" numFmtId="165" xfId="0" applyAlignment="1" applyBorder="1" applyFont="1" applyNumberFormat="1">
      <alignment horizontal="left" vertical="center"/>
    </xf>
    <xf borderId="0" fillId="23" fontId="28" numFmtId="0" xfId="0" applyAlignment="1" applyFill="1" applyFont="1">
      <alignment readingOrder="0"/>
    </xf>
    <xf borderId="6" fillId="23" fontId="28" numFmtId="0" xfId="0" applyAlignment="1" applyBorder="1" applyFont="1">
      <alignment readingOrder="0"/>
    </xf>
    <xf borderId="0" fillId="24" fontId="35" numFmtId="0" xfId="0" applyAlignment="1" applyFill="1" applyFont="1">
      <alignment horizontal="center" readingOrder="0"/>
    </xf>
    <xf borderId="4" fillId="25" fontId="21" numFmtId="0" xfId="0" applyAlignment="1" applyBorder="1" applyFill="1" applyFont="1">
      <alignment horizontal="center" readingOrder="0" shrinkToFit="0" vertical="center" wrapText="1"/>
    </xf>
    <xf borderId="8" fillId="23" fontId="28" numFmtId="0" xfId="0" applyAlignment="1" applyBorder="1" applyFont="1">
      <alignment readingOrder="0"/>
    </xf>
    <xf borderId="0" fillId="23" fontId="18" numFmtId="0" xfId="0" applyAlignment="1" applyFont="1">
      <alignment horizontal="center" readingOrder="0" vertical="center"/>
    </xf>
    <xf borderId="0" fillId="25" fontId="18" numFmtId="0" xfId="0" applyAlignment="1" applyFont="1">
      <alignment horizontal="center" readingOrder="0" vertical="center"/>
    </xf>
    <xf borderId="14" fillId="3" fontId="31" numFmtId="166" xfId="0" applyAlignment="1" applyBorder="1" applyFont="1" applyNumberFormat="1">
      <alignment horizontal="center" readingOrder="0"/>
    </xf>
    <xf borderId="0" fillId="3" fontId="36" numFmtId="166" xfId="0" applyAlignment="1" applyFont="1" applyNumberFormat="1">
      <alignment horizontal="center" readingOrder="0"/>
    </xf>
    <xf borderId="4" fillId="21" fontId="21" numFmtId="0" xfId="0" applyAlignment="1" applyBorder="1" applyFont="1">
      <alignment horizontal="center" readingOrder="0" shrinkToFit="0" vertical="center" wrapText="1"/>
    </xf>
    <xf borderId="4" fillId="26" fontId="20" numFmtId="0" xfId="0" applyAlignment="1" applyBorder="1" applyFill="1" applyFont="1">
      <alignment horizontal="center" readingOrder="0"/>
    </xf>
    <xf borderId="17" fillId="26" fontId="29" numFmtId="0" xfId="0" applyAlignment="1" applyBorder="1" applyFont="1">
      <alignment horizontal="center" readingOrder="0"/>
    </xf>
    <xf borderId="7" fillId="26" fontId="18" numFmtId="0" xfId="0" applyAlignment="1" applyBorder="1" applyFont="1">
      <alignment horizontal="center" readingOrder="0" vertical="center"/>
    </xf>
    <xf borderId="12" fillId="26" fontId="18" numFmtId="0" xfId="0" applyAlignment="1" applyBorder="1" applyFont="1">
      <alignment horizontal="center" vertical="center"/>
    </xf>
    <xf borderId="14" fillId="15" fontId="18" numFmtId="166" xfId="0" applyAlignment="1" applyBorder="1" applyFont="1" applyNumberFormat="1">
      <alignment horizontal="center" vertical="center"/>
    </xf>
    <xf borderId="14" fillId="3" fontId="37" numFmtId="166" xfId="0" applyAlignment="1" applyBorder="1" applyFont="1" applyNumberFormat="1">
      <alignment horizontal="center" readingOrder="0"/>
    </xf>
    <xf borderId="9" fillId="20" fontId="18" numFmtId="165" xfId="0" applyAlignment="1" applyBorder="1" applyFont="1" applyNumberFormat="1">
      <alignment horizontal="left" vertical="center"/>
    </xf>
    <xf borderId="14" fillId="3" fontId="18" numFmtId="166" xfId="0" applyAlignment="1" applyBorder="1" applyFont="1" applyNumberFormat="1">
      <alignment horizontal="center" vertical="center"/>
    </xf>
    <xf borderId="4" fillId="27" fontId="20" numFmtId="0" xfId="0" applyAlignment="1" applyBorder="1" applyFill="1" applyFont="1">
      <alignment horizontal="center" readingOrder="0" shrinkToFit="0" vertical="center" wrapText="1"/>
    </xf>
    <xf borderId="4" fillId="10" fontId="20" numFmtId="0" xfId="0" applyAlignment="1" applyBorder="1" applyFont="1">
      <alignment horizontal="center" readingOrder="0" shrinkToFit="0" vertical="center" wrapText="1"/>
    </xf>
    <xf borderId="14" fillId="3" fontId="25" numFmtId="3" xfId="0" applyAlignment="1" applyBorder="1" applyFont="1" applyNumberFormat="1">
      <alignment readingOrder="0"/>
    </xf>
    <xf borderId="14" fillId="3" fontId="38" numFmtId="0" xfId="0" applyBorder="1" applyFont="1"/>
    <xf borderId="14" fillId="0" fontId="38" numFmtId="3" xfId="0" applyAlignment="1" applyBorder="1" applyFont="1" applyNumberFormat="1">
      <alignment readingOrder="0"/>
    </xf>
    <xf borderId="14" fillId="0" fontId="25" numFmtId="166" xfId="0" applyAlignment="1" applyBorder="1" applyFont="1" applyNumberFormat="1">
      <alignment horizontal="center" readingOrder="0" vertical="center"/>
    </xf>
    <xf borderId="14" fillId="2" fontId="18" numFmtId="165" xfId="0" applyAlignment="1" applyBorder="1" applyFont="1" applyNumberFormat="1">
      <alignment horizontal="left" readingOrder="0" vertical="center"/>
    </xf>
    <xf borderId="14" fillId="15" fontId="38" numFmtId="0" xfId="0" applyAlignment="1" applyBorder="1" applyFont="1">
      <alignment readingOrder="0"/>
    </xf>
    <xf borderId="14" fillId="15" fontId="38" numFmtId="3" xfId="0" applyAlignment="1" applyBorder="1" applyFont="1" applyNumberFormat="1">
      <alignment readingOrder="0"/>
    </xf>
    <xf borderId="9" fillId="0" fontId="18" numFmtId="166" xfId="0" applyAlignment="1" applyBorder="1" applyFont="1" applyNumberFormat="1">
      <alignment horizontal="right" vertical="center"/>
    </xf>
    <xf borderId="9" fillId="0" fontId="18" numFmtId="165" xfId="0" applyAlignment="1" applyBorder="1" applyFont="1" applyNumberFormat="1">
      <alignment horizontal="left" vertical="center"/>
    </xf>
    <xf borderId="14" fillId="15" fontId="38" numFmtId="3" xfId="0" applyBorder="1" applyFont="1" applyNumberFormat="1"/>
    <xf borderId="14" fillId="3" fontId="25" numFmtId="0" xfId="0" applyAlignment="1" applyBorder="1" applyFont="1">
      <alignment readingOrder="0" vertical="center"/>
    </xf>
    <xf borderId="14" fillId="3" fontId="25" numFmtId="3" xfId="0" applyAlignment="1" applyBorder="1" applyFont="1" applyNumberFormat="1">
      <alignment readingOrder="0" vertical="center"/>
    </xf>
    <xf borderId="9" fillId="3" fontId="18" numFmtId="165" xfId="0" applyAlignment="1" applyBorder="1" applyFont="1" applyNumberFormat="1">
      <alignment horizontal="left" readingOrder="0" vertical="center"/>
    </xf>
    <xf borderId="14" fillId="3" fontId="38" numFmtId="3" xfId="0" applyAlignment="1" applyBorder="1" applyFont="1" applyNumberFormat="1">
      <alignment readingOrder="0"/>
    </xf>
    <xf borderId="14" fillId="16" fontId="38" numFmtId="3" xfId="0" applyBorder="1" applyFont="1" applyNumberFormat="1"/>
    <xf borderId="14" fillId="0" fontId="26" numFmtId="0" xfId="0" applyAlignment="1" applyBorder="1" applyFont="1">
      <alignment readingOrder="0"/>
    </xf>
    <xf borderId="4" fillId="12" fontId="21" numFmtId="0" xfId="0" applyAlignment="1" applyBorder="1" applyFont="1">
      <alignment horizontal="center" readingOrder="0" shrinkToFit="0" vertical="center" wrapText="1"/>
    </xf>
    <xf borderId="4" fillId="5" fontId="21" numFmtId="0" xfId="0" applyAlignment="1" applyBorder="1" applyFont="1">
      <alignment horizontal="center" readingOrder="0" shrinkToFit="0" vertical="center" wrapText="1"/>
    </xf>
    <xf borderId="0" fillId="5" fontId="18" numFmtId="0" xfId="0" applyAlignment="1" applyFont="1">
      <alignment horizontal="center" readingOrder="0" vertical="center"/>
    </xf>
    <xf borderId="9" fillId="3" fontId="18" numFmtId="165" xfId="0" applyAlignment="1" applyBorder="1" applyFont="1" applyNumberFormat="1">
      <alignment horizontal="center" readingOrder="0" vertical="center"/>
    </xf>
    <xf borderId="9" fillId="21" fontId="18" numFmtId="165" xfId="0" applyAlignment="1" applyBorder="1" applyFont="1" applyNumberFormat="1">
      <alignment horizontal="left" readingOrder="0" vertical="center"/>
    </xf>
    <xf borderId="4" fillId="5" fontId="21" numFmtId="0" xfId="0" applyAlignment="1" applyBorder="1" applyFont="1">
      <alignment horizontal="center" readingOrder="0" shrinkToFit="0" wrapText="1"/>
    </xf>
    <xf borderId="4" fillId="28" fontId="21" numFmtId="0" xfId="0" applyAlignment="1" applyBorder="1" applyFill="1" applyFont="1">
      <alignment horizontal="center" readingOrder="0" shrinkToFit="0" wrapText="1"/>
    </xf>
    <xf borderId="0" fillId="13" fontId="18" numFmtId="0" xfId="0" applyAlignment="1" applyFont="1">
      <alignment horizontal="center" readingOrder="0" vertical="center"/>
    </xf>
    <xf borderId="0" fillId="5" fontId="25" numFmtId="0" xfId="0" applyAlignment="1" applyFont="1">
      <alignment horizontal="center" readingOrder="0"/>
    </xf>
    <xf borderId="0" fillId="28" fontId="25" numFmtId="0" xfId="0" applyAlignment="1" applyFont="1">
      <alignment horizontal="center" readingOrder="0"/>
    </xf>
    <xf borderId="12" fillId="14" fontId="25" numFmtId="0" xfId="0" applyAlignment="1" applyBorder="1" applyFont="1">
      <alignment horizontal="center"/>
    </xf>
    <xf borderId="14" fillId="3" fontId="32" numFmtId="166" xfId="0" applyAlignment="1" applyBorder="1" applyFont="1" applyNumberFormat="1">
      <alignment readingOrder="0"/>
    </xf>
    <xf borderId="9" fillId="15" fontId="32" numFmtId="165" xfId="0" applyAlignment="1" applyBorder="1" applyFont="1" applyNumberFormat="1">
      <alignment readingOrder="0"/>
    </xf>
    <xf borderId="14" fillId="3" fontId="38" numFmtId="166" xfId="0" applyAlignment="1" applyBorder="1" applyFont="1" applyNumberFormat="1">
      <alignment readingOrder="0"/>
    </xf>
    <xf borderId="14" fillId="3" fontId="32" numFmtId="166" xfId="0" applyBorder="1" applyFont="1" applyNumberFormat="1"/>
    <xf borderId="9" fillId="3" fontId="32" numFmtId="165" xfId="0" applyAlignment="1" applyBorder="1" applyFont="1" applyNumberFormat="1">
      <alignment readingOrder="0"/>
    </xf>
    <xf borderId="9" fillId="3" fontId="32" numFmtId="165" xfId="0" applyBorder="1" applyFont="1" applyNumberFormat="1"/>
    <xf borderId="0" fillId="3" fontId="39" numFmtId="3" xfId="0" applyAlignment="1" applyFont="1" applyNumberFormat="1">
      <alignment horizontal="center" vertical="center"/>
    </xf>
    <xf borderId="9" fillId="18" fontId="18" numFmtId="165" xfId="0" applyAlignment="1" applyBorder="1" applyFont="1" applyNumberFormat="1">
      <alignment horizontal="right" vertical="center"/>
    </xf>
    <xf borderId="4" fillId="12" fontId="20" numFmtId="0" xfId="0" applyAlignment="1" applyBorder="1" applyFont="1">
      <alignment horizontal="center" readingOrder="0" shrinkToFit="0" vertical="center" wrapText="1"/>
    </xf>
    <xf borderId="10" fillId="12" fontId="18" numFmtId="0" xfId="0" applyAlignment="1" applyBorder="1" applyFont="1">
      <alignment horizontal="center" readingOrder="0" vertical="center"/>
    </xf>
    <xf borderId="12" fillId="11" fontId="18" numFmtId="0" xfId="0" applyAlignment="1" applyBorder="1" applyFont="1">
      <alignment horizontal="center" readingOrder="0" vertical="center"/>
    </xf>
    <xf borderId="14" fillId="0" fontId="25" numFmtId="166" xfId="0" applyAlignment="1" applyBorder="1" applyFont="1" applyNumberFormat="1">
      <alignment horizontal="center" vertical="center"/>
    </xf>
    <xf borderId="0" fillId="29" fontId="40" numFmtId="0" xfId="0" applyAlignment="1" applyFill="1" applyFont="1">
      <alignment vertical="bottom"/>
    </xf>
    <xf borderId="0" fillId="29" fontId="32" numFmtId="0" xfId="0" applyAlignment="1" applyFont="1">
      <alignment vertical="bottom"/>
    </xf>
    <xf borderId="6" fillId="29" fontId="32" numFmtId="0" xfId="0" applyAlignment="1" applyBorder="1" applyFont="1">
      <alignment vertical="bottom"/>
    </xf>
    <xf borderId="0" fillId="6" fontId="40" numFmtId="0" xfId="0" applyAlignment="1" applyFont="1">
      <alignment vertical="top"/>
    </xf>
    <xf borderId="8" fillId="29" fontId="32" numFmtId="0" xfId="0" applyAlignment="1" applyBorder="1" applyFont="1">
      <alignment vertical="bottom"/>
    </xf>
    <xf borderId="9" fillId="29" fontId="32" numFmtId="0" xfId="0" applyAlignment="1" applyBorder="1" applyFont="1">
      <alignment vertical="bottom"/>
    </xf>
    <xf borderId="2" fillId="9" fontId="18" numFmtId="0" xfId="0" applyAlignment="1" applyBorder="1" applyFont="1">
      <alignment horizontal="center" vertical="center"/>
    </xf>
    <xf borderId="10" fillId="29" fontId="25" numFmtId="0" xfId="0" applyAlignment="1" applyBorder="1" applyFont="1">
      <alignment horizontal="center" readingOrder="0"/>
    </xf>
    <xf borderId="0" fillId="10" fontId="25" numFmtId="0" xfId="0" applyAlignment="1" applyFont="1">
      <alignment horizontal="center" readingOrder="0"/>
    </xf>
    <xf borderId="14" fillId="3" fontId="25" numFmtId="166" xfId="0" applyAlignment="1" applyBorder="1" applyFont="1" applyNumberFormat="1">
      <alignment horizontal="center"/>
    </xf>
    <xf borderId="9" fillId="15" fontId="25" numFmtId="165" xfId="0" applyBorder="1" applyFont="1" applyNumberFormat="1"/>
    <xf borderId="9" fillId="21" fontId="25" numFmtId="165" xfId="0" applyBorder="1" applyFont="1" applyNumberFormat="1"/>
    <xf borderId="12" fillId="18" fontId="18" numFmtId="3" xfId="0" applyAlignment="1" applyBorder="1" applyFont="1" applyNumberFormat="1">
      <alignment horizontal="right" readingOrder="0" vertical="center"/>
    </xf>
    <xf borderId="14" fillId="3" fontId="25" numFmtId="166" xfId="0" applyAlignment="1" applyBorder="1" applyFont="1" applyNumberFormat="1">
      <alignment horizontal="center" readingOrder="0" vertical="center"/>
    </xf>
    <xf borderId="9" fillId="0" fontId="18" numFmtId="166" xfId="0" applyAlignment="1" applyBorder="1" applyFont="1" applyNumberFormat="1">
      <alignment horizontal="right" readingOrder="0" vertical="center"/>
    </xf>
    <xf borderId="0" fillId="3" fontId="41" numFmtId="0" xfId="0" applyAlignment="1" applyFont="1">
      <alignment horizontal="left"/>
    </xf>
    <xf borderId="4" fillId="30" fontId="21" numFmtId="0" xfId="0" applyAlignment="1" applyBorder="1" applyFill="1" applyFont="1">
      <alignment horizontal="center" readingOrder="0" shrinkToFit="0" vertical="center" wrapText="1"/>
    </xf>
    <xf borderId="4" fillId="31" fontId="21" numFmtId="0" xfId="0" applyAlignment="1" applyBorder="1" applyFill="1" applyFont="1">
      <alignment horizontal="center" readingOrder="0" shrinkToFit="0" vertical="center" wrapText="1"/>
    </xf>
    <xf borderId="10" fillId="30" fontId="18" numFmtId="0" xfId="0" applyAlignment="1" applyBorder="1" applyFont="1">
      <alignment horizontal="center" readingOrder="0" vertical="center"/>
    </xf>
    <xf borderId="0" fillId="31" fontId="18" numFmtId="0" xfId="0" applyAlignment="1" applyFont="1">
      <alignment horizontal="center" readingOrder="0" vertical="center"/>
    </xf>
    <xf borderId="14" fillId="0" fontId="42" numFmtId="0" xfId="0" applyBorder="1" applyFont="1"/>
    <xf borderId="14" fillId="15" fontId="11" numFmtId="166" xfId="0" applyAlignment="1" applyBorder="1" applyFont="1" applyNumberFormat="1">
      <alignment readingOrder="0"/>
    </xf>
    <xf borderId="14" fillId="0" fontId="16" numFmtId="3" xfId="0" applyAlignment="1" applyBorder="1" applyFont="1" applyNumberFormat="1">
      <alignment readingOrder="0"/>
    </xf>
    <xf borderId="14" fillId="15" fontId="26" numFmtId="166" xfId="0" applyBorder="1" applyFont="1" applyNumberFormat="1"/>
    <xf borderId="14" fillId="2" fontId="43" numFmtId="166" xfId="0" applyAlignment="1" applyBorder="1" applyFont="1" applyNumberFormat="1">
      <alignment horizontal="right" readingOrder="0" vertical="center"/>
    </xf>
    <xf borderId="14" fillId="0" fontId="16" numFmtId="0" xfId="0" applyAlignment="1" applyBorder="1" applyFont="1">
      <alignment readingOrder="0"/>
    </xf>
    <xf borderId="14" fillId="15" fontId="18" numFmtId="166" xfId="0" applyAlignment="1" applyBorder="1" applyFont="1" applyNumberFormat="1">
      <alignment horizontal="right" readingOrder="0" vertical="center"/>
    </xf>
    <xf borderId="4" fillId="18" fontId="18" numFmtId="0" xfId="0" applyAlignment="1" applyBorder="1" applyFont="1">
      <alignment horizontal="center" vertical="center"/>
    </xf>
    <xf borderId="3" fillId="18" fontId="18" numFmtId="3" xfId="0" applyAlignment="1" applyBorder="1" applyFont="1" applyNumberFormat="1">
      <alignment horizontal="right" vertical="center"/>
    </xf>
    <xf borderId="3" fillId="18" fontId="18" numFmtId="166" xfId="0" applyAlignment="1" applyBorder="1" applyFont="1" applyNumberFormat="1">
      <alignment horizontal="right" vertical="center"/>
    </xf>
    <xf borderId="6" fillId="18" fontId="18" numFmtId="165" xfId="0" applyAlignment="1" applyBorder="1" applyFont="1" applyNumberFormat="1">
      <alignment horizontal="left" vertical="center"/>
    </xf>
    <xf borderId="0" fillId="31" fontId="18" numFmtId="0" xfId="0" applyAlignment="1" applyFont="1">
      <alignment horizontal="center" vertical="center"/>
    </xf>
    <xf borderId="12" fillId="32" fontId="18" numFmtId="0" xfId="0" applyAlignment="1" applyBorder="1" applyFill="1" applyFont="1">
      <alignment horizontal="center" vertical="center"/>
    </xf>
    <xf borderId="12" fillId="31" fontId="18" numFmtId="0" xfId="0" applyAlignment="1" applyBorder="1" applyFont="1">
      <alignment horizontal="center" vertical="center"/>
    </xf>
    <xf borderId="14" fillId="2" fontId="25" numFmtId="169" xfId="0" applyAlignment="1" applyBorder="1" applyFont="1" applyNumberFormat="1">
      <alignment horizontal="center" readingOrder="0" vertical="center"/>
    </xf>
    <xf borderId="9" fillId="16" fontId="18" numFmtId="167" xfId="0" applyAlignment="1" applyBorder="1" applyFont="1" applyNumberFormat="1">
      <alignment horizontal="left" vertical="center"/>
    </xf>
    <xf borderId="9" fillId="2" fontId="18" numFmtId="165" xfId="0" applyAlignment="1" applyBorder="1" applyFont="1" applyNumberFormat="1">
      <alignment horizontal="right" readingOrder="0" vertical="center"/>
    </xf>
    <xf borderId="6" fillId="18" fontId="18" numFmtId="165" xfId="0" applyAlignment="1" applyBorder="1" applyFont="1" applyNumberFormat="1">
      <alignment horizontal="left" readingOrder="0" vertical="center"/>
    </xf>
    <xf borderId="0" fillId="3" fontId="18" numFmtId="0" xfId="0" applyAlignment="1" applyFont="1">
      <alignment horizontal="center" vertical="center"/>
    </xf>
    <xf borderId="0" fillId="3" fontId="25" numFmtId="0" xfId="0" applyAlignment="1" applyFont="1">
      <alignment vertical="center"/>
    </xf>
    <xf borderId="0" fillId="3" fontId="25" numFmtId="166" xfId="0" applyAlignment="1" applyFont="1" applyNumberFormat="1">
      <alignment horizontal="center" vertical="center"/>
    </xf>
    <xf borderId="0" fillId="3" fontId="18" numFmtId="165" xfId="0" applyAlignment="1" applyFont="1" applyNumberFormat="1">
      <alignment horizontal="left" vertical="center"/>
    </xf>
    <xf borderId="0" fillId="3" fontId="18" numFmtId="166" xfId="0" applyAlignment="1" applyFont="1" applyNumberFormat="1">
      <alignment horizontal="right" vertical="center"/>
    </xf>
    <xf borderId="4" fillId="10" fontId="29" numFmtId="0" xfId="0" applyAlignment="1" applyBorder="1" applyFont="1">
      <alignment horizontal="center" readingOrder="0" shrinkToFit="0" vertical="center" wrapText="1"/>
    </xf>
    <xf borderId="10" fillId="10" fontId="18" numFmtId="0" xfId="0" applyAlignment="1" applyBorder="1" applyFont="1">
      <alignment horizontal="center" readingOrder="0" vertical="center"/>
    </xf>
    <xf borderId="12" fillId="10" fontId="18" numFmtId="0" xfId="0" applyAlignment="1" applyBorder="1" applyFont="1">
      <alignment horizontal="center" readingOrder="0" vertical="center"/>
    </xf>
    <xf borderId="14" fillId="15" fontId="32" numFmtId="166" xfId="0" applyAlignment="1" applyBorder="1" applyFont="1" applyNumberFormat="1">
      <alignment readingOrder="0"/>
    </xf>
    <xf borderId="14" fillId="21" fontId="25" numFmtId="166" xfId="0" applyAlignment="1" applyBorder="1" applyFont="1" applyNumberFormat="1">
      <alignment horizontal="center" readingOrder="0" vertical="center"/>
    </xf>
    <xf borderId="12" fillId="18" fontId="32" numFmtId="3" xfId="0" applyBorder="1" applyFont="1" applyNumberFormat="1"/>
    <xf borderId="12" fillId="18" fontId="32" numFmtId="166" xfId="0" applyBorder="1" applyFont="1" applyNumberFormat="1"/>
    <xf borderId="9" fillId="18" fontId="32" numFmtId="165" xfId="0" applyBorder="1" applyFont="1" applyNumberFormat="1"/>
    <xf borderId="0" fillId="9" fontId="18" numFmtId="0" xfId="0" applyAlignment="1" applyFont="1">
      <alignment horizontal="center" readingOrder="0" vertical="center"/>
    </xf>
    <xf borderId="10" fillId="27" fontId="18" numFmtId="0" xfId="0" applyAlignment="1" applyBorder="1" applyFont="1">
      <alignment horizontal="center" readingOrder="0" vertical="center"/>
    </xf>
    <xf borderId="4" fillId="15" fontId="20" numFmtId="0" xfId="0" applyAlignment="1" applyBorder="1" applyFont="1">
      <alignment horizontal="center" readingOrder="0" shrinkToFit="0" vertical="center" wrapText="1"/>
    </xf>
    <xf borderId="0" fillId="33" fontId="18" numFmtId="0" xfId="0" applyAlignment="1" applyFill="1" applyFont="1">
      <alignment horizontal="center" readingOrder="0" vertical="center"/>
    </xf>
    <xf borderId="0" fillId="12" fontId="18" numFmtId="0" xfId="0" applyAlignment="1" applyFont="1">
      <alignment horizontal="center" vertical="center"/>
    </xf>
    <xf borderId="0" fillId="33" fontId="18" numFmtId="0" xfId="0" applyAlignment="1" applyFont="1">
      <alignment horizontal="center" vertical="center"/>
    </xf>
    <xf borderId="4" fillId="33" fontId="32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4" fillId="27" fontId="20" numFmtId="0" xfId="0" applyAlignment="1" applyBorder="1" applyFont="1">
      <alignment horizontal="center" shrinkToFit="0" vertical="center" wrapText="1"/>
    </xf>
    <xf borderId="4" fillId="15" fontId="20" numFmtId="0" xfId="0" applyAlignment="1" applyBorder="1" applyFont="1">
      <alignment horizontal="center" shrinkToFit="0" vertical="center" wrapText="1"/>
    </xf>
    <xf borderId="4" fillId="10" fontId="20" numFmtId="0" xfId="0" applyAlignment="1" applyBorder="1" applyFont="1">
      <alignment horizontal="center" shrinkToFit="0" vertical="center" wrapText="1"/>
    </xf>
    <xf borderId="10" fillId="27" fontId="18" numFmtId="0" xfId="0" applyAlignment="1" applyBorder="1" applyFont="1">
      <alignment horizontal="center" vertical="center"/>
    </xf>
    <xf borderId="10" fillId="15" fontId="18" numFmtId="0" xfId="0" applyAlignment="1" applyBorder="1" applyFont="1">
      <alignment horizontal="center" vertical="center"/>
    </xf>
    <xf borderId="10" fillId="10" fontId="18" numFmtId="0" xfId="0" applyAlignment="1" applyBorder="1" applyFont="1">
      <alignment horizontal="center" vertical="center"/>
    </xf>
    <xf borderId="12" fillId="15" fontId="18" numFmtId="0" xfId="0" applyAlignment="1" applyBorder="1" applyFont="1">
      <alignment horizontal="center" vertical="center"/>
    </xf>
    <xf borderId="12" fillId="10" fontId="18" numFmtId="0" xfId="0" applyAlignment="1" applyBorder="1" applyFont="1">
      <alignment horizontal="center" vertical="center"/>
    </xf>
    <xf borderId="9" fillId="34" fontId="18" numFmtId="165" xfId="0" applyAlignment="1" applyBorder="1" applyFill="1" applyFont="1" applyNumberFormat="1">
      <alignment horizontal="left" vertical="center"/>
    </xf>
    <xf borderId="1" fillId="8" fontId="25" numFmtId="0" xfId="0" applyAlignment="1" applyBorder="1" applyFont="1">
      <alignment vertical="center"/>
    </xf>
    <xf borderId="4" fillId="8" fontId="18" numFmtId="0" xfId="0" applyAlignment="1" applyBorder="1" applyFont="1">
      <alignment horizontal="center" readingOrder="0" vertical="center"/>
    </xf>
    <xf borderId="10" fillId="10" fontId="20" numFmtId="0" xfId="0" applyAlignment="1" applyBorder="1" applyFont="1">
      <alignment horizontal="center" readingOrder="0" shrinkToFit="0" vertical="center" wrapText="1"/>
    </xf>
    <xf borderId="10" fillId="10" fontId="20" numFmtId="4" xfId="0" applyAlignment="1" applyBorder="1" applyFont="1" applyNumberFormat="1">
      <alignment horizontal="center" readingOrder="0" shrinkToFit="0" vertical="center" wrapText="1"/>
    </xf>
    <xf borderId="17" fillId="0" fontId="5" numFmtId="0" xfId="0" applyBorder="1" applyFont="1"/>
    <xf borderId="0" fillId="10" fontId="18" numFmtId="4" xfId="0" applyAlignment="1" applyFont="1" applyNumberFormat="1">
      <alignment horizontal="center" readingOrder="0" vertical="center"/>
    </xf>
    <xf borderId="12" fillId="14" fontId="18" numFmtId="4" xfId="0" applyAlignment="1" applyBorder="1" applyFont="1" applyNumberFormat="1">
      <alignment horizontal="center" vertical="center"/>
    </xf>
    <xf borderId="13" fillId="8" fontId="25" numFmtId="0" xfId="0" applyAlignment="1" applyBorder="1" applyFont="1">
      <alignment readingOrder="0" vertical="center"/>
    </xf>
    <xf borderId="12" fillId="0" fontId="26" numFmtId="4" xfId="0" applyAlignment="1" applyBorder="1" applyFont="1" applyNumberFormat="1">
      <alignment horizontal="right" readingOrder="0"/>
    </xf>
    <xf borderId="12" fillId="3" fontId="26" numFmtId="4" xfId="0" applyAlignment="1" applyBorder="1" applyFont="1" applyNumberFormat="1">
      <alignment horizontal="right"/>
    </xf>
    <xf borderId="12" fillId="3" fontId="18" numFmtId="4" xfId="0" applyAlignment="1" applyBorder="1" applyFont="1" applyNumberFormat="1">
      <alignment horizontal="right" readingOrder="0" vertical="center"/>
    </xf>
    <xf borderId="12" fillId="3" fontId="18" numFmtId="4" xfId="0" applyAlignment="1" applyBorder="1" applyFont="1" applyNumberFormat="1">
      <alignment horizontal="right" vertical="center"/>
    </xf>
    <xf borderId="12" fillId="3" fontId="44" numFmtId="4" xfId="0" applyAlignment="1" applyBorder="1" applyFont="1" applyNumberFormat="1">
      <alignment horizontal="right" vertical="center"/>
    </xf>
    <xf borderId="14" fillId="0" fontId="26" numFmtId="4" xfId="0" applyAlignment="1" applyBorder="1" applyFont="1" applyNumberFormat="1">
      <alignment horizontal="right" readingOrder="0"/>
    </xf>
    <xf borderId="14" fillId="31" fontId="26" numFmtId="4" xfId="0" applyAlignment="1" applyBorder="1" applyFont="1" applyNumberFormat="1">
      <alignment horizontal="right"/>
    </xf>
    <xf borderId="14" fillId="3" fontId="18" numFmtId="4" xfId="0" applyAlignment="1" applyBorder="1" applyFont="1" applyNumberFormat="1">
      <alignment horizontal="right" readingOrder="0" vertical="center"/>
    </xf>
    <xf borderId="14" fillId="34" fontId="18" numFmtId="4" xfId="0" applyAlignment="1" applyBorder="1" applyFont="1" applyNumberFormat="1">
      <alignment horizontal="right" vertical="center"/>
    </xf>
    <xf borderId="14" fillId="15" fontId="18" numFmtId="4" xfId="0" applyAlignment="1" applyBorder="1" applyFont="1" applyNumberFormat="1">
      <alignment horizontal="right" vertical="center"/>
    </xf>
    <xf borderId="14" fillId="3" fontId="18" numFmtId="4" xfId="0" applyAlignment="1" applyBorder="1" applyFont="1" applyNumberFormat="1">
      <alignment horizontal="right" vertical="center"/>
    </xf>
    <xf borderId="14" fillId="21" fontId="44" numFmtId="4" xfId="0" applyAlignment="1" applyBorder="1" applyFont="1" applyNumberFormat="1">
      <alignment horizontal="right" vertical="center"/>
    </xf>
    <xf borderId="14" fillId="0" fontId="11" numFmtId="4" xfId="0" applyAlignment="1" applyBorder="1" applyFont="1" applyNumberFormat="1">
      <alignment horizontal="right" readingOrder="0"/>
    </xf>
    <xf borderId="14" fillId="0" fontId="25" numFmtId="4" xfId="0" applyAlignment="1" applyBorder="1" applyFont="1" applyNumberFormat="1">
      <alignment horizontal="right" readingOrder="0"/>
    </xf>
    <xf borderId="14" fillId="0" fontId="45" numFmtId="4" xfId="0" applyAlignment="1" applyBorder="1" applyFont="1" applyNumberFormat="1">
      <alignment horizontal="right" readingOrder="0"/>
    </xf>
    <xf borderId="14" fillId="15" fontId="44" numFmtId="4" xfId="0" applyAlignment="1" applyBorder="1" applyFont="1" applyNumberFormat="1">
      <alignment horizontal="right" vertical="center"/>
    </xf>
    <xf borderId="14" fillId="0" fontId="18" numFmtId="4" xfId="0" applyAlignment="1" applyBorder="1" applyFont="1" applyNumberFormat="1">
      <alignment horizontal="right" readingOrder="0" vertical="center"/>
    </xf>
    <xf borderId="14" fillId="31" fontId="18" numFmtId="4" xfId="0" applyAlignment="1" applyBorder="1" applyFont="1" applyNumberFormat="1">
      <alignment horizontal="right" vertical="center"/>
    </xf>
    <xf borderId="14" fillId="3" fontId="25" numFmtId="4" xfId="0" applyAlignment="1" applyBorder="1" applyFont="1" applyNumberFormat="1">
      <alignment horizontal="right" readingOrder="0" vertical="center"/>
    </xf>
    <xf borderId="14" fillId="3" fontId="25" numFmtId="4" xfId="0" applyAlignment="1" applyBorder="1" applyFont="1" applyNumberFormat="1">
      <alignment horizontal="right" vertical="center"/>
    </xf>
    <xf borderId="14" fillId="0" fontId="18" numFmtId="4" xfId="0" applyAlignment="1" applyBorder="1" applyFont="1" applyNumberFormat="1">
      <alignment horizontal="right" vertical="center"/>
    </xf>
    <xf borderId="14" fillId="0" fontId="25" numFmtId="4" xfId="0" applyAlignment="1" applyBorder="1" applyFont="1" applyNumberFormat="1">
      <alignment horizontal="right" readingOrder="0" vertical="center"/>
    </xf>
    <xf borderId="9" fillId="0" fontId="18" numFmtId="4" xfId="0" applyAlignment="1" applyBorder="1" applyFont="1" applyNumberFormat="1">
      <alignment horizontal="right" readingOrder="0" vertical="center"/>
    </xf>
    <xf borderId="9" fillId="0" fontId="18" numFmtId="4" xfId="0" applyAlignment="1" applyBorder="1" applyFont="1" applyNumberFormat="1">
      <alignment horizontal="right" vertical="center"/>
    </xf>
    <xf borderId="9" fillId="31" fontId="18" numFmtId="4" xfId="0" applyAlignment="1" applyBorder="1" applyFont="1" applyNumberFormat="1">
      <alignment horizontal="right" vertical="center"/>
    </xf>
    <xf borderId="14" fillId="2" fontId="18" numFmtId="166" xfId="0" applyAlignment="1" applyBorder="1" applyFont="1" applyNumberFormat="1">
      <alignment horizontal="right" readingOrder="0"/>
    </xf>
    <xf borderId="0" fillId="0" fontId="32" numFmtId="168" xfId="0" applyFont="1" applyNumberFormat="1"/>
    <xf borderId="0" fillId="0" fontId="25" numFmtId="4" xfId="0" applyFont="1" applyNumberFormat="1"/>
    <xf borderId="0" fillId="0" fontId="32" numFmtId="0" xfId="0" applyFont="1"/>
    <xf borderId="14" fillId="15" fontId="18" numFmtId="4" xfId="0" applyAlignment="1" applyBorder="1" applyFont="1" applyNumberFormat="1">
      <alignment horizontal="right" readingOrder="0" vertical="center"/>
    </xf>
    <xf borderId="14" fillId="0" fontId="25" numFmtId="4" xfId="0" applyAlignment="1" applyBorder="1" applyFont="1" applyNumberFormat="1">
      <alignment horizontal="right" vertical="center"/>
    </xf>
    <xf borderId="14" fillId="17" fontId="18" numFmtId="4" xfId="0" applyAlignment="1" applyBorder="1" applyFont="1" applyNumberFormat="1">
      <alignment horizontal="right" vertical="center"/>
    </xf>
    <xf borderId="14" fillId="20" fontId="18" numFmtId="4" xfId="0" applyAlignment="1" applyBorder="1" applyFont="1" applyNumberFormat="1">
      <alignment horizontal="right" vertical="center"/>
    </xf>
    <xf borderId="14" fillId="0" fontId="16" numFmtId="4" xfId="0" applyAlignment="1" applyBorder="1" applyFont="1" applyNumberFormat="1">
      <alignment horizontal="right" readingOrder="0"/>
    </xf>
    <xf borderId="14" fillId="10" fontId="18" numFmtId="0" xfId="0" applyAlignment="1" applyBorder="1" applyFont="1">
      <alignment horizontal="center" readingOrder="0"/>
    </xf>
    <xf borderId="12" fillId="18" fontId="18" numFmtId="4" xfId="0" applyAlignment="1" applyBorder="1" applyFont="1" applyNumberFormat="1">
      <alignment horizontal="right" vertical="center"/>
    </xf>
    <xf borderId="14" fillId="18" fontId="18" numFmtId="4" xfId="0" applyAlignment="1" applyBorder="1" applyFont="1" applyNumberFormat="1">
      <alignment horizontal="right" vertical="center"/>
    </xf>
    <xf borderId="14" fillId="23" fontId="18" numFmtId="4" xfId="0" applyAlignment="1" applyBorder="1" applyFont="1" applyNumberFormat="1">
      <alignment horizontal="right" vertical="center"/>
    </xf>
    <xf borderId="0" fillId="0" fontId="18" numFmtId="4" xfId="0" applyAlignment="1" applyFont="1" applyNumberFormat="1">
      <alignment horizontal="center" vertical="center"/>
    </xf>
    <xf borderId="0" fillId="4" fontId="46" numFmtId="0" xfId="0" applyAlignment="1" applyFont="1">
      <alignment horizontal="center" readingOrder="0"/>
    </xf>
    <xf borderId="10" fillId="35" fontId="18" numFmtId="0" xfId="0" applyAlignment="1" applyBorder="1" applyFill="1" applyFont="1">
      <alignment horizontal="center"/>
    </xf>
    <xf borderId="12" fillId="0" fontId="26" numFmtId="4" xfId="0" applyAlignment="1" applyBorder="1" applyFont="1" applyNumberFormat="1">
      <alignment readingOrder="0"/>
    </xf>
    <xf borderId="12" fillId="3" fontId="26" numFmtId="4" xfId="0" applyBorder="1" applyFont="1" applyNumberFormat="1"/>
    <xf borderId="12" fillId="3" fontId="18" numFmtId="4" xfId="0" applyAlignment="1" applyBorder="1" applyFont="1" applyNumberFormat="1">
      <alignment horizontal="center" vertical="center"/>
    </xf>
    <xf borderId="12" fillId="15" fontId="18" numFmtId="4" xfId="0" applyAlignment="1" applyBorder="1" applyFont="1" applyNumberFormat="1">
      <alignment horizontal="right" vertical="center"/>
    </xf>
    <xf borderId="14" fillId="0" fontId="26" numFmtId="4" xfId="0" applyAlignment="1" applyBorder="1" applyFont="1" applyNumberFormat="1">
      <alignment readingOrder="0"/>
    </xf>
    <xf borderId="14" fillId="17" fontId="26" numFmtId="4" xfId="0" applyBorder="1" applyFont="1" applyNumberFormat="1"/>
    <xf borderId="14" fillId="3" fontId="18" numFmtId="4" xfId="0" applyAlignment="1" applyBorder="1" applyFont="1" applyNumberFormat="1">
      <alignment horizontal="center" vertical="center"/>
    </xf>
    <xf borderId="14" fillId="3" fontId="44" numFmtId="4" xfId="0" applyAlignment="1" applyBorder="1" applyFont="1" applyNumberFormat="1">
      <alignment horizontal="right" vertical="center"/>
    </xf>
    <xf borderId="14" fillId="15" fontId="26" numFmtId="4" xfId="0" applyBorder="1" applyFont="1" applyNumberFormat="1"/>
    <xf borderId="0" fillId="0" fontId="45" numFmtId="4" xfId="0" applyAlignment="1" applyFont="1" applyNumberFormat="1">
      <alignment readingOrder="0"/>
    </xf>
    <xf borderId="14" fillId="0" fontId="26" numFmtId="4" xfId="0" applyBorder="1" applyFont="1" applyNumberFormat="1"/>
    <xf borderId="14" fillId="0" fontId="18" numFmtId="4" xfId="0" applyAlignment="1" applyBorder="1" applyFont="1" applyNumberFormat="1">
      <alignment horizontal="left" readingOrder="0" vertical="center"/>
    </xf>
    <xf borderId="14" fillId="21" fontId="26" numFmtId="4" xfId="0" applyBorder="1" applyFont="1" applyNumberFormat="1"/>
    <xf borderId="14" fillId="3" fontId="25" numFmtId="4" xfId="0" applyAlignment="1" applyBorder="1" applyFont="1" applyNumberFormat="1">
      <alignment horizontal="center" vertical="center"/>
    </xf>
    <xf borderId="14" fillId="0" fontId="18" numFmtId="4" xfId="0" applyAlignment="1" applyBorder="1" applyFont="1" applyNumberFormat="1">
      <alignment horizontal="left" vertical="center"/>
    </xf>
    <xf borderId="14" fillId="3" fontId="26" numFmtId="4" xfId="0" applyBorder="1" applyFont="1" applyNumberFormat="1"/>
    <xf borderId="14" fillId="0" fontId="25" numFmtId="4" xfId="0" applyAlignment="1" applyBorder="1" applyFont="1" applyNumberFormat="1">
      <alignment horizontal="center" vertical="center"/>
    </xf>
    <xf borderId="9" fillId="0" fontId="18" numFmtId="4" xfId="0" applyAlignment="1" applyBorder="1" applyFont="1" applyNumberFormat="1">
      <alignment horizontal="left" readingOrder="0" vertical="center"/>
    </xf>
    <xf borderId="9" fillId="0" fontId="18" numFmtId="4" xfId="0" applyAlignment="1" applyBorder="1" applyFont="1" applyNumberFormat="1">
      <alignment horizontal="left" vertical="center"/>
    </xf>
    <xf borderId="0" fillId="3" fontId="47" numFmtId="0" xfId="0" applyFont="1"/>
    <xf borderId="9" fillId="0" fontId="18" numFmtId="165" xfId="0" applyAlignment="1" applyBorder="1" applyFont="1" applyNumberFormat="1">
      <alignment horizontal="left" readingOrder="0" vertical="center"/>
    </xf>
    <xf borderId="12" fillId="34" fontId="18" numFmtId="4" xfId="0" applyAlignment="1" applyBorder="1" applyFont="1" applyNumberFormat="1">
      <alignment horizontal="right" vertical="center"/>
    </xf>
    <xf borderId="14" fillId="0" fontId="16" numFmtId="4" xfId="0" applyAlignment="1" applyBorder="1" applyFont="1" applyNumberFormat="1">
      <alignment readingOrder="0"/>
    </xf>
    <xf borderId="0" fillId="3" fontId="48" numFmtId="4" xfId="0" applyAlignment="1" applyFont="1" applyNumberFormat="1">
      <alignment horizontal="right" vertical="top"/>
    </xf>
    <xf borderId="14" fillId="36" fontId="26" numFmtId="4" xfId="0" applyBorder="1" applyFill="1" applyFont="1" applyNumberFormat="1"/>
    <xf borderId="12" fillId="23" fontId="18" numFmtId="4" xfId="0" applyAlignment="1" applyBorder="1" applyFont="1" applyNumberFormat="1">
      <alignment horizontal="center" vertical="center"/>
    </xf>
    <xf borderId="4" fillId="10" fontId="20" numFmtId="4" xfId="0" applyAlignment="1" applyBorder="1" applyFont="1" applyNumberFormat="1">
      <alignment horizontal="center" readingOrder="0" shrinkToFit="0" vertical="center" wrapText="1"/>
    </xf>
    <xf borderId="10" fillId="10" fontId="18" numFmtId="4" xfId="0" applyAlignment="1" applyBorder="1" applyFont="1" applyNumberFormat="1">
      <alignment horizontal="center" vertical="center"/>
    </xf>
    <xf borderId="10" fillId="37" fontId="18" numFmtId="0" xfId="0" applyAlignment="1" applyBorder="1" applyFill="1" applyFont="1">
      <alignment horizontal="center" vertical="center"/>
    </xf>
    <xf borderId="14" fillId="3" fontId="25" numFmtId="166" xfId="0" applyAlignment="1" applyBorder="1" applyFont="1" applyNumberFormat="1">
      <alignment horizontal="center" vertical="center"/>
    </xf>
    <xf borderId="14" fillId="0" fontId="25" numFmtId="4" xfId="0" applyAlignment="1" applyBorder="1" applyFont="1" applyNumberFormat="1">
      <alignment horizontal="center" readingOrder="0" vertical="center"/>
    </xf>
    <xf borderId="9" fillId="15" fontId="18" numFmtId="167" xfId="0" applyAlignment="1" applyBorder="1" applyFont="1" applyNumberFormat="1">
      <alignment horizontal="left" vertical="center"/>
    </xf>
    <xf borderId="0" fillId="0" fontId="26" numFmtId="0" xfId="0" applyAlignment="1" applyFont="1">
      <alignment readingOrder="0"/>
    </xf>
    <xf borderId="14" fillId="0" fontId="49" numFmtId="166" xfId="0" applyAlignment="1" applyBorder="1" applyFont="1" applyNumberFormat="1">
      <alignment horizontal="center" readingOrder="0" vertical="center"/>
    </xf>
    <xf borderId="9" fillId="17" fontId="18" numFmtId="167" xfId="0" applyAlignment="1" applyBorder="1" applyFont="1" applyNumberFormat="1">
      <alignment horizontal="left" vertical="center"/>
    </xf>
    <xf borderId="9" fillId="3" fontId="18" numFmtId="167" xfId="0" applyAlignment="1" applyBorder="1" applyFont="1" applyNumberFormat="1">
      <alignment horizontal="left" vertical="center"/>
    </xf>
    <xf borderId="4" fillId="38" fontId="20" numFmtId="0" xfId="0" applyAlignment="1" applyBorder="1" applyFill="1" applyFont="1">
      <alignment horizontal="center" readingOrder="0" shrinkToFit="0" vertical="center" wrapText="1"/>
    </xf>
    <xf borderId="10" fillId="38" fontId="18" numFmtId="0" xfId="0" applyAlignment="1" applyBorder="1" applyFont="1">
      <alignment horizontal="center" vertical="center"/>
    </xf>
    <xf borderId="0" fillId="0" fontId="50" numFmtId="3" xfId="0" applyFont="1" applyNumberFormat="1"/>
    <xf borderId="0" fillId="37" fontId="20" numFmtId="0" xfId="0" applyAlignment="1" applyFont="1">
      <alignment horizontal="center"/>
    </xf>
    <xf borderId="4" fillId="10" fontId="20" numFmtId="4" xfId="0" applyAlignment="1" applyBorder="1" applyFont="1" applyNumberFormat="1">
      <alignment horizontal="center" shrinkToFit="0" vertical="center" wrapText="1"/>
    </xf>
    <xf borderId="9" fillId="31" fontId="51" numFmtId="165" xfId="0" applyAlignment="1" applyBorder="1" applyFont="1" applyNumberFormat="1">
      <alignment horizontal="left" vertical="center"/>
    </xf>
    <xf borderId="0" fillId="0" fontId="26" numFmtId="4" xfId="0" applyFont="1" applyNumberFormat="1"/>
    <xf borderId="9" fillId="16" fontId="18" numFmtId="165" xfId="0" applyAlignment="1" applyBorder="1" applyFont="1" applyNumberFormat="1">
      <alignment horizontal="left" readingOrder="0" vertical="center"/>
    </xf>
    <xf borderId="0" fillId="37" fontId="20" numFmtId="0" xfId="0" applyAlignment="1" applyFont="1">
      <alignment horizontal="center" readingOrder="0"/>
    </xf>
    <xf borderId="0" fillId="3" fontId="52" numFmtId="0" xfId="0" applyFont="1"/>
    <xf borderId="10" fillId="25" fontId="20" numFmtId="0" xfId="0" applyAlignment="1" applyBorder="1" applyFont="1">
      <alignment horizontal="center" readingOrder="0" shrinkToFit="0" vertical="center" wrapText="1"/>
    </xf>
    <xf borderId="10" fillId="39" fontId="16" numFmtId="170" xfId="0" applyAlignment="1" applyBorder="1" applyFill="1" applyFont="1" applyNumberFormat="1">
      <alignment readingOrder="0" vertical="bottom"/>
    </xf>
    <xf borderId="10" fillId="13" fontId="21" numFmtId="0" xfId="0" applyAlignment="1" applyBorder="1" applyFont="1">
      <alignment horizontal="center" readingOrder="0" shrinkToFit="0" wrapText="1"/>
    </xf>
    <xf borderId="10" fillId="40" fontId="21" numFmtId="0" xfId="0" applyAlignment="1" applyBorder="1" applyFill="1" applyFont="1">
      <alignment horizontal="center" readingOrder="0" shrinkToFit="0" wrapText="1"/>
    </xf>
    <xf borderId="10" fillId="40" fontId="18" numFmtId="0" xfId="0" applyAlignment="1" applyBorder="1" applyFont="1">
      <alignment horizontal="center" vertical="center"/>
    </xf>
    <xf borderId="0" fillId="21" fontId="26" numFmtId="0" xfId="0" applyFont="1"/>
    <xf borderId="14" fillId="17" fontId="26" numFmtId="0" xfId="0" applyBorder="1" applyFont="1"/>
    <xf borderId="12" fillId="14" fontId="18" numFmtId="0" xfId="0" applyAlignment="1" applyBorder="1" applyFont="1">
      <alignment horizontal="center" readingOrder="0" vertical="center"/>
    </xf>
    <xf borderId="14" fillId="2" fontId="43" numFmtId="49" xfId="0" applyAlignment="1" applyBorder="1" applyFont="1" applyNumberFormat="1">
      <alignment horizontal="center" readingOrder="0" shrinkToFit="0" vertical="center" wrapText="0"/>
    </xf>
    <xf borderId="0" fillId="31" fontId="26" numFmtId="0" xfId="0" applyFont="1"/>
    <xf borderId="14" fillId="31" fontId="43" numFmtId="49" xfId="0" applyAlignment="1" applyBorder="1" applyFont="1" applyNumberFormat="1">
      <alignment horizontal="center" readingOrder="0" shrinkToFit="0" vertical="center" wrapText="0"/>
    </xf>
    <xf borderId="0" fillId="0" fontId="53" numFmtId="0" xfId="0" applyAlignment="1" applyFont="1">
      <alignment horizontal="center" vertical="bottom"/>
    </xf>
    <xf borderId="0" fillId="0" fontId="54" numFmtId="0" xfId="0" applyAlignment="1" applyFont="1">
      <alignment vertical="bottom"/>
    </xf>
    <xf borderId="0" fillId="0" fontId="53" numFmtId="0" xfId="0" applyAlignment="1" applyFont="1">
      <alignment vertical="bottom"/>
    </xf>
    <xf borderId="14" fillId="0" fontId="53" numFmtId="0" xfId="0" applyAlignment="1" applyBorder="1" applyFont="1">
      <alignment horizontal="center"/>
    </xf>
    <xf borderId="14" fillId="0" fontId="53" numFmtId="0" xfId="0" applyAlignment="1" applyBorder="1" applyFont="1">
      <alignment horizontal="center" vertical="top"/>
    </xf>
    <xf borderId="14" fillId="0" fontId="4" numFmtId="0" xfId="0" applyAlignment="1" applyBorder="1" applyFont="1">
      <alignment horizontal="center" vertical="top"/>
    </xf>
    <xf borderId="14" fillId="0" fontId="4" numFmtId="2" xfId="0" applyAlignment="1" applyBorder="1" applyFont="1" applyNumberFormat="1">
      <alignment shrinkToFit="0" vertical="top" wrapText="1"/>
    </xf>
    <xf borderId="1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3" fontId="4" numFmtId="0" xfId="0" applyAlignment="1" applyFont="1">
      <alignment vertical="top"/>
    </xf>
    <xf borderId="0" fillId="0" fontId="54" numFmtId="16" xfId="0" applyAlignment="1" applyFont="1" applyNumberFormat="1">
      <alignment vertical="bottom"/>
    </xf>
    <xf borderId="0" fillId="0" fontId="54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8" fontId="22" numFmtId="0" xfId="0" applyAlignment="1" applyFont="1">
      <alignment horizontal="center" readingOrder="0" vertical="center"/>
    </xf>
    <xf borderId="0" fillId="3" fontId="20" numFmtId="0" xfId="0" applyAlignment="1" applyFont="1">
      <alignment horizontal="center" readingOrder="0" shrinkToFit="0" vertical="center" wrapText="1"/>
    </xf>
    <xf borderId="1" fillId="8" fontId="22" numFmtId="0" xfId="0" applyAlignment="1" applyBorder="1" applyFont="1">
      <alignment horizontal="center" vertical="center"/>
    </xf>
    <xf borderId="2" fillId="9" fontId="55" numFmtId="0" xfId="0" applyAlignment="1" applyBorder="1" applyFont="1">
      <alignment horizontal="center" readingOrder="0" shrinkToFit="0" vertical="center" wrapText="1"/>
    </xf>
    <xf borderId="2" fillId="9" fontId="22" numFmtId="0" xfId="0" applyAlignment="1" applyBorder="1" applyFont="1">
      <alignment horizontal="center" vertical="center"/>
    </xf>
    <xf borderId="12" fillId="41" fontId="18" numFmtId="0" xfId="0" applyAlignment="1" applyBorder="1" applyFill="1" applyFont="1">
      <alignment horizontal="center" readingOrder="0" vertical="center"/>
    </xf>
    <xf borderId="12" fillId="42" fontId="18" numFmtId="0" xfId="0" applyAlignment="1" applyBorder="1" applyFill="1" applyFont="1">
      <alignment horizontal="center" readingOrder="0" vertical="center"/>
    </xf>
    <xf borderId="0" fillId="2" fontId="18" numFmtId="165" xfId="0" applyAlignment="1" applyFont="1" applyNumberFormat="1">
      <alignment horizontal="left" vertical="center"/>
    </xf>
    <xf borderId="9" fillId="31" fontId="18" numFmtId="165" xfId="0" applyAlignment="1" applyBorder="1" applyFont="1" applyNumberFormat="1">
      <alignment horizontal="left" vertical="center"/>
    </xf>
    <xf borderId="9" fillId="0" fontId="56" numFmtId="4" xfId="0" applyAlignment="1" applyBorder="1" applyFont="1" applyNumberFormat="1">
      <alignment readingOrder="0" vertical="bottom"/>
    </xf>
    <xf borderId="0" fillId="0" fontId="26" numFmtId="3" xfId="0" applyAlignment="1" applyFont="1" applyNumberFormat="1">
      <alignment readingOrder="0"/>
    </xf>
    <xf borderId="0" fillId="2" fontId="18" numFmtId="165" xfId="0" applyAlignment="1" applyFont="1" applyNumberFormat="1">
      <alignment horizontal="left" readingOrder="0" vertical="center"/>
    </xf>
    <xf borderId="10" fillId="22" fontId="18" numFmtId="0" xfId="0" applyAlignment="1" applyBorder="1" applyFont="1">
      <alignment horizontal="center" vertical="center"/>
    </xf>
    <xf borderId="12" fillId="22" fontId="18" numFmtId="166" xfId="0" applyAlignment="1" applyBorder="1" applyFont="1" applyNumberFormat="1">
      <alignment horizontal="right" vertical="center"/>
    </xf>
    <xf borderId="12" fillId="22" fontId="18" numFmtId="3" xfId="0" applyAlignment="1" applyBorder="1" applyFont="1" applyNumberFormat="1">
      <alignment horizontal="right" vertical="center"/>
    </xf>
    <xf borderId="0" fillId="2" fontId="18" numFmtId="3" xfId="0" applyAlignment="1" applyFont="1" applyNumberFormat="1">
      <alignment horizontal="right" vertical="center"/>
    </xf>
    <xf borderId="0" fillId="0" fontId="53" numFmtId="0" xfId="0" applyAlignment="1" applyFont="1">
      <alignment horizontal="center"/>
    </xf>
    <xf borderId="0" fillId="3" fontId="53" numFmtId="0" xfId="0" applyAlignment="1" applyFont="1">
      <alignment horizontal="center" readingOrder="0" vertical="bottom"/>
    </xf>
    <xf borderId="0" fillId="0" fontId="53" numFmtId="0" xfId="0" applyAlignment="1" applyFont="1">
      <alignment horizontal="center" readingOrder="0" vertical="bottom"/>
    </xf>
    <xf borderId="0" fillId="0" fontId="32" numFmtId="0" xfId="0" applyAlignment="1" applyFont="1">
      <alignment vertical="bottom"/>
    </xf>
    <xf borderId="14" fillId="0" fontId="4" numFmtId="0" xfId="0" applyAlignment="1" applyBorder="1" applyFont="1">
      <alignment horizontal="center" readingOrder="0" vertical="top"/>
    </xf>
    <xf borderId="14" fillId="0" fontId="4" numFmtId="2" xfId="0" applyAlignment="1" applyBorder="1" applyFont="1" applyNumberFormat="1">
      <alignment readingOrder="0" shrinkToFit="0" vertical="top" wrapText="1"/>
    </xf>
    <xf borderId="14" fillId="0" fontId="4" numFmtId="0" xfId="0" applyAlignment="1" applyBorder="1" applyFont="1">
      <alignment readingOrder="0" vertical="top"/>
    </xf>
    <xf borderId="14" fillId="3" fontId="4" numFmtId="0" xfId="0" applyAlignment="1" applyBorder="1" applyFont="1">
      <alignment readingOrder="0" vertical="top"/>
    </xf>
    <xf borderId="0" fillId="0" fontId="57" numFmtId="0" xfId="0" applyAlignment="1" applyFont="1">
      <alignment horizontal="center" vertical="bottom"/>
    </xf>
    <xf borderId="0" fillId="0" fontId="58" numFmtId="0" xfId="0" applyAlignment="1" applyFont="1">
      <alignment horizontal="center" vertical="center"/>
    </xf>
    <xf borderId="0" fillId="3" fontId="58" numFmtId="0" xfId="0" applyAlignment="1" applyFont="1">
      <alignment vertical="top"/>
    </xf>
    <xf borderId="0" fillId="0" fontId="32" numFmtId="16" xfId="0" applyAlignment="1" applyFont="1" applyNumberFormat="1">
      <alignment vertical="bottom"/>
    </xf>
    <xf borderId="0" fillId="0" fontId="57" numFmtId="0" xfId="0" applyAlignment="1" applyFont="1">
      <alignment vertical="bottom"/>
    </xf>
    <xf borderId="0" fillId="0" fontId="58" numFmtId="0" xfId="0" applyAlignment="1" applyFont="1">
      <alignment vertical="top"/>
    </xf>
    <xf borderId="0" fillId="0" fontId="58" numFmtId="0" xfId="0" applyAlignment="1" applyFont="1">
      <alignment shrinkToFit="0" vertical="top" wrapText="1"/>
    </xf>
    <xf borderId="0" fillId="0" fontId="58" numFmtId="0" xfId="0" applyFont="1"/>
    <xf borderId="4" fillId="10" fontId="5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14" fillId="14" fontId="59" numFmtId="0" xfId="0" applyAlignment="1" applyBorder="1" applyFont="1">
      <alignment horizontal="center" vertical="center"/>
    </xf>
    <xf borderId="14" fillId="14" fontId="59" numFmtId="0" xfId="0" applyAlignment="1" applyBorder="1" applyFont="1">
      <alignment horizontal="center" shrinkToFit="0" vertical="center" wrapText="1"/>
    </xf>
    <xf borderId="14" fillId="14" fontId="60" numFmtId="0" xfId="0" applyAlignment="1" applyBorder="1" applyFont="1">
      <alignment horizontal="center" vertical="center"/>
    </xf>
    <xf borderId="14" fillId="8" fontId="60" numFmtId="0" xfId="0" applyAlignment="1" applyBorder="1" applyFont="1">
      <alignment vertical="center"/>
    </xf>
    <xf borderId="14" fillId="0" fontId="59" numFmtId="3" xfId="0" applyAlignment="1" applyBorder="1" applyFont="1" applyNumberFormat="1">
      <alignment horizontal="center" vertical="center"/>
    </xf>
    <xf borderId="14" fillId="0" fontId="59" numFmtId="166" xfId="0" applyAlignment="1" applyBorder="1" applyFont="1" applyNumberFormat="1">
      <alignment horizontal="right" vertical="center"/>
    </xf>
    <xf borderId="14" fillId="0" fontId="59" numFmtId="4" xfId="0" applyAlignment="1" applyBorder="1" applyFont="1" applyNumberFormat="1">
      <alignment horizontal="center" vertical="center"/>
    </xf>
    <xf borderId="14" fillId="15" fontId="59" numFmtId="4" xfId="0" applyAlignment="1" applyBorder="1" applyFont="1" applyNumberFormat="1">
      <alignment horizontal="center" vertical="center"/>
    </xf>
    <xf borderId="14" fillId="0" fontId="59" numFmtId="169" xfId="0" applyAlignment="1" applyBorder="1" applyFont="1" applyNumberFormat="1">
      <alignment horizontal="right" vertical="center"/>
    </xf>
    <xf borderId="14" fillId="0" fontId="59" numFmtId="171" xfId="0" applyAlignment="1" applyBorder="1" applyFont="1" applyNumberFormat="1">
      <alignment horizontal="center" vertical="center"/>
    </xf>
    <xf borderId="14" fillId="18" fontId="59" numFmtId="3" xfId="0" applyAlignment="1" applyBorder="1" applyFont="1" applyNumberFormat="1">
      <alignment horizontal="center" vertical="center"/>
    </xf>
    <xf borderId="14" fillId="18" fontId="59" numFmtId="4" xfId="0" applyAlignment="1" applyBorder="1" applyFont="1" applyNumberFormat="1">
      <alignment horizontal="center" vertical="center"/>
    </xf>
    <xf borderId="0" fillId="0" fontId="60" numFmtId="0" xfId="0" applyFont="1"/>
    <xf borderId="0" fillId="0" fontId="60" numFmtId="0" xfId="0" applyAlignment="1" applyFont="1">
      <alignment horizontal="right"/>
    </xf>
    <xf borderId="0" fillId="0" fontId="61" numFmtId="0" xfId="0" applyFont="1"/>
    <xf borderId="0" fillId="0" fontId="27" numFmtId="0" xfId="0" applyFont="1"/>
    <xf borderId="0" fillId="0" fontId="23" numFmtId="0" xfId="0" applyAlignment="1" applyFont="1">
      <alignment horizontal="center"/>
    </xf>
    <xf borderId="0" fillId="0" fontId="62" numFmtId="0" xfId="0" applyAlignment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shrinkToFit="0" vertical="center" wrapText="1"/>
    </xf>
    <xf borderId="4" fillId="0" fontId="25" numFmtId="0" xfId="0" applyAlignment="1" applyBorder="1" applyFont="1">
      <alignment horizontal="center" shrinkToFit="0" vertical="center" wrapText="1"/>
    </xf>
    <xf borderId="4" fillId="0" fontId="27" numFmtId="0" xfId="0" applyAlignment="1" applyBorder="1" applyFont="1">
      <alignment horizontal="center" shrinkToFit="0" vertical="center" wrapText="1"/>
    </xf>
    <xf borderId="4" fillId="2" fontId="23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/>
    </xf>
    <xf borderId="10" fillId="0" fontId="19" numFmtId="0" xfId="0" applyAlignment="1" applyBorder="1" applyFont="1">
      <alignment horizontal="center"/>
    </xf>
    <xf borderId="12" fillId="0" fontId="19" numFmtId="0" xfId="0" applyAlignment="1" applyBorder="1" applyFont="1">
      <alignment horizontal="center"/>
    </xf>
    <xf borderId="12" fillId="3" fontId="19" numFmtId="0" xfId="0" applyAlignment="1" applyBorder="1" applyFont="1">
      <alignment horizontal="center"/>
    </xf>
    <xf borderId="14" fillId="0" fontId="27" numFmtId="0" xfId="0" applyAlignment="1" applyBorder="1" applyFont="1">
      <alignment horizontal="center"/>
    </xf>
    <xf borderId="10" fillId="0" fontId="27" numFmtId="164" xfId="0" applyAlignment="1" applyBorder="1" applyFont="1" applyNumberFormat="1">
      <alignment horizontal="center"/>
    </xf>
    <xf borderId="11" fillId="0" fontId="27" numFmtId="164" xfId="0" applyAlignment="1" applyBorder="1" applyFont="1" applyNumberFormat="1">
      <alignment horizontal="center"/>
    </xf>
    <xf borderId="14" fillId="0" fontId="19" numFmtId="0" xfId="0" applyAlignment="1" applyBorder="1" applyFont="1">
      <alignment horizontal="center"/>
    </xf>
    <xf borderId="14" fillId="4" fontId="27" numFmtId="0" xfId="0" applyAlignment="1" applyBorder="1" applyFont="1">
      <alignment vertical="center"/>
    </xf>
    <xf borderId="14" fillId="0" fontId="19" numFmtId="166" xfId="0" applyAlignment="1" applyBorder="1" applyFont="1" applyNumberFormat="1">
      <alignment horizontal="left" readingOrder="0"/>
    </xf>
    <xf borderId="14" fillId="0" fontId="19" numFmtId="165" xfId="0" applyAlignment="1" applyBorder="1" applyFont="1" applyNumberFormat="1">
      <alignment readingOrder="0" shrinkToFit="0" vertical="center" wrapText="1"/>
    </xf>
    <xf borderId="9" fillId="5" fontId="19" numFmtId="165" xfId="0" applyAlignment="1" applyBorder="1" applyFont="1" applyNumberFormat="1">
      <alignment horizontal="left"/>
    </xf>
    <xf borderId="14" fillId="0" fontId="19" numFmtId="165" xfId="0" applyAlignment="1" applyBorder="1" applyFont="1" applyNumberFormat="1">
      <alignment shrinkToFit="0" vertical="center" wrapText="1"/>
    </xf>
    <xf borderId="9" fillId="6" fontId="19" numFmtId="165" xfId="0" applyAlignment="1" applyBorder="1" applyFont="1" applyNumberFormat="1">
      <alignment horizontal="left"/>
    </xf>
    <xf borderId="14" fillId="0" fontId="19" numFmtId="165" xfId="0" applyAlignment="1" applyBorder="1" applyFont="1" applyNumberFormat="1">
      <alignment horizontal="center" shrinkToFit="0" vertical="center" wrapText="1"/>
    </xf>
    <xf borderId="14" fillId="0" fontId="19" numFmtId="3" xfId="0" applyAlignment="1" applyBorder="1" applyFont="1" applyNumberFormat="1">
      <alignment horizontal="right" shrinkToFit="0" vertical="center" wrapText="1"/>
    </xf>
    <xf borderId="14" fillId="0" fontId="19" numFmtId="165" xfId="0" applyAlignment="1" applyBorder="1" applyFont="1" applyNumberFormat="1">
      <alignment horizontal="right" shrinkToFit="0" vertical="center" wrapText="1"/>
    </xf>
    <xf borderId="14" fillId="0" fontId="19" numFmtId="4" xfId="0" applyAlignment="1" applyBorder="1" applyFont="1" applyNumberFormat="1">
      <alignment horizontal="right" shrinkToFit="0" vertical="center" wrapText="1"/>
    </xf>
    <xf borderId="9" fillId="5" fontId="24" numFmtId="167" xfId="0" applyAlignment="1" applyBorder="1" applyFont="1" applyNumberFormat="1">
      <alignment horizontal="left"/>
    </xf>
    <xf borderId="9" fillId="2" fontId="19" numFmtId="0" xfId="0" applyAlignment="1" applyBorder="1" applyFont="1">
      <alignment horizontal="left" shrinkToFit="0" vertical="bottom" wrapText="0"/>
    </xf>
    <xf borderId="14" fillId="4" fontId="27" numFmtId="0" xfId="0" applyAlignment="1" applyBorder="1" applyFont="1">
      <alignment horizontal="center" vertical="center"/>
    </xf>
    <xf borderId="14" fillId="0" fontId="19" numFmtId="167" xfId="0" applyAlignment="1" applyBorder="1" applyFont="1" applyNumberFormat="1">
      <alignment horizontal="center" shrinkToFit="0" vertical="center" wrapText="1"/>
    </xf>
    <xf borderId="9" fillId="2" fontId="19" numFmtId="167" xfId="0" applyAlignment="1" applyBorder="1" applyFont="1" applyNumberFormat="1">
      <alignment horizontal="center"/>
    </xf>
    <xf borderId="14" fillId="0" fontId="27" numFmtId="2" xfId="0" applyAlignment="1" applyBorder="1" applyFont="1" applyNumberFormat="1">
      <alignment horizontal="center"/>
    </xf>
    <xf borderId="15" fillId="4" fontId="27" numFmtId="0" xfId="0" applyAlignment="1" applyBorder="1" applyFont="1">
      <alignment vertical="center"/>
    </xf>
    <xf borderId="13" fillId="0" fontId="19" numFmtId="165" xfId="0" applyAlignment="1" applyBorder="1" applyFont="1" applyNumberFormat="1">
      <alignment horizontal="left"/>
    </xf>
    <xf borderId="13" fillId="0" fontId="19" numFmtId="166" xfId="0" applyAlignment="1" applyBorder="1" applyFont="1" applyNumberFormat="1">
      <alignment horizontal="left"/>
    </xf>
    <xf borderId="14" fillId="2" fontId="19" numFmtId="3" xfId="0" applyAlignment="1" applyBorder="1" applyFont="1" applyNumberFormat="1">
      <alignment horizontal="right" shrinkToFit="0" vertical="center" wrapText="1"/>
    </xf>
    <xf borderId="9" fillId="5" fontId="19" numFmtId="167" xfId="0" applyAlignment="1" applyBorder="1" applyFont="1" applyNumberFormat="1">
      <alignment horizontal="left"/>
    </xf>
    <xf borderId="15" fillId="4" fontId="27" numFmtId="0" xfId="0" applyAlignment="1" applyBorder="1" applyFont="1">
      <alignment horizontal="center" vertical="center"/>
    </xf>
    <xf borderId="14" fillId="2" fontId="19" numFmtId="4" xfId="0" applyAlignment="1" applyBorder="1" applyFont="1" applyNumberFormat="1">
      <alignment horizontal="right" shrinkToFit="0" vertical="center" wrapText="1"/>
    </xf>
    <xf borderId="16" fillId="4" fontId="27" numFmtId="0" xfId="0" applyAlignment="1" applyBorder="1" applyFont="1">
      <alignment vertical="center"/>
    </xf>
    <xf borderId="16" fillId="4" fontId="27" numFmtId="0" xfId="0" applyAlignment="1" applyBorder="1" applyFont="1">
      <alignment horizontal="center" vertical="center"/>
    </xf>
    <xf borderId="12" fillId="0" fontId="19" numFmtId="166" xfId="0" applyAlignment="1" applyBorder="1" applyFont="1" applyNumberFormat="1">
      <alignment horizontal="right"/>
    </xf>
    <xf borderId="12" fillId="5" fontId="19" numFmtId="3" xfId="0" applyAlignment="1" applyBorder="1" applyFont="1" applyNumberFormat="1">
      <alignment horizontal="right"/>
    </xf>
    <xf borderId="12" fillId="0" fontId="19" numFmtId="3" xfId="0" applyAlignment="1" applyBorder="1" applyFont="1" applyNumberFormat="1">
      <alignment horizontal="right"/>
    </xf>
    <xf borderId="12" fillId="2" fontId="19" numFmtId="3" xfId="0" applyAlignment="1" applyBorder="1" applyFont="1" applyNumberFormat="1">
      <alignment horizontal="right"/>
    </xf>
    <xf borderId="12" fillId="5" fontId="19" numFmtId="167" xfId="0" applyAlignment="1" applyBorder="1" applyFont="1" applyNumberFormat="1">
      <alignment horizontal="right"/>
    </xf>
    <xf borderId="12" fillId="0" fontId="19" numFmtId="166" xfId="0" applyAlignment="1" applyBorder="1" applyFont="1" applyNumberFormat="1">
      <alignment horizontal="center"/>
    </xf>
    <xf borderId="0" fillId="3" fontId="27" numFmtId="0" xfId="0" applyFont="1"/>
    <xf borderId="2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/>
    </xf>
    <xf borderId="14" fillId="0" fontId="19" numFmtId="166" xfId="0" applyBorder="1" applyFont="1" applyNumberFormat="1"/>
    <xf borderId="9" fillId="3" fontId="19" numFmtId="165" xfId="0" applyAlignment="1" applyBorder="1" applyFont="1" applyNumberFormat="1">
      <alignment horizontal="left"/>
    </xf>
    <xf borderId="14" fillId="0" fontId="19" numFmtId="165" xfId="0" applyBorder="1" applyFont="1" applyNumberFormat="1"/>
    <xf borderId="14" fillId="0" fontId="19" numFmtId="167" xfId="0" applyAlignment="1" applyBorder="1" applyFont="1" applyNumberFormat="1">
      <alignment horizontal="right" shrinkToFit="0" vertical="bottom" wrapText="0"/>
    </xf>
    <xf borderId="9" fillId="6" fontId="19" numFmtId="167" xfId="0" applyAlignment="1" applyBorder="1" applyFont="1" applyNumberFormat="1">
      <alignment horizontal="left"/>
    </xf>
    <xf borderId="9" fillId="34" fontId="19" numFmtId="165" xfId="0" applyAlignment="1" applyBorder="1" applyFont="1" applyNumberFormat="1">
      <alignment horizontal="left"/>
    </xf>
    <xf borderId="14" fillId="2" fontId="19" numFmtId="165" xfId="0" applyAlignment="1" applyBorder="1" applyFont="1" applyNumberFormat="1">
      <alignment horizontal="center" shrinkToFit="0" vertical="center" wrapText="1"/>
    </xf>
    <xf borderId="9" fillId="2" fontId="19" numFmtId="166" xfId="0" applyAlignment="1" applyBorder="1" applyFont="1" applyNumberFormat="1">
      <alignment horizontal="right"/>
    </xf>
    <xf borderId="14" fillId="2" fontId="19" numFmtId="165" xfId="0" applyAlignment="1" applyBorder="1" applyFont="1" applyNumberFormat="1">
      <alignment horizontal="right" shrinkToFit="0" vertical="center" wrapText="1"/>
    </xf>
    <xf borderId="14" fillId="2" fontId="27" numFmtId="166" xfId="0" applyAlignment="1" applyBorder="1" applyFont="1" applyNumberFormat="1">
      <alignment horizontal="center" vertical="center"/>
    </xf>
    <xf borderId="12" fillId="3" fontId="19" numFmtId="3" xfId="0" applyAlignment="1" applyBorder="1" applyFont="1" applyNumberFormat="1">
      <alignment horizontal="right"/>
    </xf>
    <xf borderId="12" fillId="6" fontId="19" numFmtId="4" xfId="0" applyAlignment="1" applyBorder="1" applyFont="1" applyNumberFormat="1">
      <alignment horizontal="right"/>
    </xf>
    <xf borderId="12" fillId="34" fontId="19" numFmtId="3" xfId="0" applyAlignment="1" applyBorder="1" applyFont="1" applyNumberFormat="1">
      <alignment horizontal="right"/>
    </xf>
    <xf borderId="2" fillId="0" fontId="1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14" fillId="0" fontId="4" numFmtId="0" xfId="0" applyAlignment="1" applyBorder="1" applyFont="1">
      <alignment horizontal="center"/>
    </xf>
    <xf borderId="14" fillId="0" fontId="63" numFmtId="172" xfId="0" applyAlignment="1" applyBorder="1" applyFont="1" applyNumberFormat="1">
      <alignment horizontal="left" readingOrder="0" shrinkToFit="0" vertical="center" wrapText="1"/>
    </xf>
    <xf borderId="14" fillId="0" fontId="13" numFmtId="165" xfId="0" applyAlignment="1" applyBorder="1" applyFont="1" applyNumberFormat="1">
      <alignment horizontal="center" shrinkToFit="0" vertical="center" wrapText="1"/>
    </xf>
    <xf borderId="14" fillId="0" fontId="13" numFmtId="167" xfId="0" applyAlignment="1" applyBorder="1" applyFont="1" applyNumberFormat="1">
      <alignment horizontal="center" shrinkToFit="0" vertical="center" wrapText="1"/>
    </xf>
    <xf borderId="9" fillId="2" fontId="13" numFmtId="167" xfId="0" applyAlignment="1" applyBorder="1" applyFont="1" applyNumberFormat="1">
      <alignment horizontal="center"/>
    </xf>
    <xf borderId="14" fillId="0" fontId="4" numFmtId="2" xfId="0" applyAlignment="1" applyBorder="1" applyFont="1" applyNumberFormat="1">
      <alignment horizontal="center"/>
    </xf>
    <xf borderId="14" fillId="0" fontId="7" numFmtId="165" xfId="0" applyAlignment="1" applyBorder="1" applyFont="1" applyNumberFormat="1">
      <alignment shrinkToFit="0" vertical="center" wrapText="1"/>
    </xf>
    <xf borderId="14" fillId="4" fontId="8" numFmtId="0" xfId="0" applyAlignment="1" applyBorder="1" applyFont="1">
      <alignment readingOrder="0" vertical="center"/>
    </xf>
    <xf borderId="16" fillId="4" fontId="8" numFmtId="0" xfId="0" applyAlignment="1" applyBorder="1" applyFont="1">
      <alignment readingOrder="0" vertical="center"/>
    </xf>
    <xf borderId="12" fillId="0" fontId="7" numFmtId="4" xfId="0" applyAlignment="1" applyBorder="1" applyFont="1" applyNumberFormat="1">
      <alignment horizontal="right"/>
    </xf>
    <xf borderId="12" fillId="0" fontId="13" numFmtId="166" xfId="0" applyAlignment="1" applyBorder="1" applyFont="1" applyNumberFormat="1">
      <alignment horizontal="center"/>
    </xf>
    <xf borderId="0" fillId="0" fontId="64" numFmtId="0" xfId="0" applyAlignment="1" applyFont="1">
      <alignment horizontal="center" vertical="center"/>
    </xf>
    <xf borderId="1" fillId="0" fontId="64" numFmtId="0" xfId="0" applyAlignment="1" applyBorder="1" applyFont="1">
      <alignment horizontal="center" vertical="center"/>
    </xf>
    <xf borderId="2" fillId="0" fontId="64" numFmtId="0" xfId="0" applyAlignment="1" applyBorder="1" applyFont="1">
      <alignment horizontal="center"/>
    </xf>
    <xf borderId="12" fillId="0" fontId="64" numFmtId="0" xfId="0" applyAlignment="1" applyBorder="1" applyFont="1">
      <alignment horizontal="center"/>
    </xf>
    <xf borderId="12" fillId="3" fontId="64" numFmtId="0" xfId="0" applyAlignment="1" applyBorder="1" applyFont="1">
      <alignment horizontal="center"/>
    </xf>
    <xf borderId="10" fillId="0" fontId="65" numFmtId="164" xfId="0" applyAlignment="1" applyBorder="1" applyFont="1" applyNumberFormat="1">
      <alignment horizontal="center"/>
    </xf>
    <xf borderId="9" fillId="6" fontId="7" numFmtId="165" xfId="0" applyAlignment="1" applyBorder="1" applyFont="1" applyNumberFormat="1">
      <alignment horizontal="left"/>
    </xf>
    <xf borderId="14" fillId="0" fontId="7" numFmtId="165" xfId="0" applyAlignment="1" applyBorder="1" applyFont="1" applyNumberFormat="1">
      <alignment horizontal="right" readingOrder="0" shrinkToFit="0" vertical="bottom" wrapText="0"/>
    </xf>
    <xf borderId="14" fillId="0" fontId="7" numFmtId="169" xfId="0" applyAlignment="1" applyBorder="1" applyFont="1" applyNumberFormat="1">
      <alignment readingOrder="0"/>
    </xf>
    <xf borderId="14" fillId="0" fontId="7" numFmtId="169" xfId="0" applyBorder="1" applyFont="1" applyNumberFormat="1"/>
    <xf borderId="9" fillId="3" fontId="7" numFmtId="169" xfId="0" applyAlignment="1" applyBorder="1" applyFont="1" applyNumberFormat="1">
      <alignment horizontal="left"/>
    </xf>
    <xf borderId="0" fillId="0" fontId="17" numFmtId="0" xfId="0" applyAlignment="1" applyFont="1">
      <alignment readingOrder="0"/>
    </xf>
    <xf borderId="14" fillId="0" fontId="8" numFmtId="165" xfId="0" applyAlignment="1" applyBorder="1" applyFont="1" applyNumberFormat="1">
      <alignment horizontal="right" readingOrder="0" shrinkToFit="0" wrapText="1"/>
    </xf>
    <xf borderId="14" fillId="0" fontId="8" numFmtId="3" xfId="0" applyAlignment="1" applyBorder="1" applyFont="1" applyNumberFormat="1">
      <alignment horizontal="right" readingOrder="0" shrinkToFit="0" wrapText="1"/>
    </xf>
    <xf borderId="9" fillId="5" fontId="8" numFmtId="165" xfId="0" applyAlignment="1" applyBorder="1" applyFont="1" applyNumberFormat="1">
      <alignment vertical="bottom"/>
    </xf>
    <xf borderId="12" fillId="6" fontId="7" numFmtId="3" xfId="0" applyAlignment="1" applyBorder="1" applyFont="1" applyNumberFormat="1">
      <alignment horizontal="right"/>
    </xf>
    <xf borderId="12" fillId="0" fontId="7" numFmtId="169" xfId="0" applyAlignment="1" applyBorder="1" applyFont="1" applyNumberFormat="1">
      <alignment horizontal="right"/>
    </xf>
    <xf borderId="12" fillId="3" fontId="7" numFmtId="169" xfId="0" applyAlignment="1" applyBorder="1" applyFont="1" applyNumberFormat="1">
      <alignment horizontal="right"/>
    </xf>
    <xf borderId="0" fillId="0" fontId="1" numFmtId="0" xfId="0" applyAlignment="1" applyFont="1">
      <alignment horizontal="center" vertical="center"/>
    </xf>
    <xf borderId="14" fillId="0" fontId="8" numFmtId="165" xfId="0" applyAlignment="1" applyBorder="1" applyFont="1" applyNumberFormat="1">
      <alignment horizontal="center" readingOrder="0" shrinkToFit="0" vertical="bottom" wrapText="0"/>
    </xf>
    <xf borderId="0" fillId="3" fontId="66" numFmtId="0" xfId="0" applyFont="1"/>
    <xf borderId="0" fillId="0" fontId="13" numFmtId="0" xfId="0" applyFont="1"/>
    <xf borderId="4" fillId="0" fontId="2" numFmtId="0" xfId="0" applyAlignment="1" applyBorder="1" applyFont="1">
      <alignment horizontal="center" readingOrder="0" shrinkToFit="0" vertical="center" wrapText="1"/>
    </xf>
    <xf borderId="14" fillId="0" fontId="17" numFmtId="4" xfId="0" applyAlignment="1" applyBorder="1" applyFont="1" applyNumberFormat="1">
      <alignment horizontal="right" readingOrder="0" shrinkToFit="0" vertical="center" wrapText="1"/>
    </xf>
    <xf borderId="9" fillId="34" fontId="7" numFmtId="167" xfId="0" applyAlignment="1" applyBorder="1" applyFont="1" applyNumberFormat="1">
      <alignment horizontal="left"/>
    </xf>
    <xf borderId="14" fillId="0" fontId="7" numFmtId="167" xfId="0" applyAlignment="1" applyBorder="1" applyFont="1" applyNumberFormat="1">
      <alignment readingOrder="0"/>
    </xf>
    <xf borderId="0" fillId="0" fontId="4" numFmtId="0" xfId="0" applyAlignment="1" applyFont="1">
      <alignment horizontal="left"/>
    </xf>
    <xf borderId="12" fillId="34" fontId="7" numFmtId="3" xfId="0" applyAlignment="1" applyBorder="1" applyFont="1" applyNumberFormat="1">
      <alignment horizontal="right"/>
    </xf>
    <xf borderId="4" fillId="0" fontId="67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/>
    </xf>
    <xf borderId="14" fillId="3" fontId="7" numFmtId="165" xfId="0" applyAlignment="1" applyBorder="1" applyFont="1" applyNumberFormat="1">
      <alignment readingOrder="0"/>
    </xf>
    <xf borderId="14" fillId="3" fontId="63" numFmtId="167" xfId="0" applyAlignment="1" applyBorder="1" applyFont="1" applyNumberFormat="1">
      <alignment horizontal="left" readingOrder="0"/>
    </xf>
    <xf borderId="14" fillId="0" fontId="7" numFmtId="167" xfId="0" applyAlignment="1" applyBorder="1" applyFont="1" applyNumberFormat="1">
      <alignment readingOrder="0" shrinkToFit="0" vertical="center" wrapText="1"/>
    </xf>
    <xf borderId="14" fillId="2" fontId="68" numFmtId="165" xfId="0" applyAlignment="1" applyBorder="1" applyFont="1" applyNumberFormat="1">
      <alignment horizontal="right" readingOrder="0" shrinkToFit="0" vertical="center" wrapText="1"/>
    </xf>
    <xf borderId="14" fillId="2" fontId="69" numFmtId="4" xfId="0" applyAlignment="1" applyBorder="1" applyFont="1" applyNumberFormat="1">
      <alignment horizontal="right" shrinkToFit="0" vertical="center" wrapText="1"/>
    </xf>
    <xf borderId="9" fillId="2" fontId="69" numFmtId="167" xfId="0" applyAlignment="1" applyBorder="1" applyFont="1" applyNumberFormat="1">
      <alignment horizontal="left"/>
    </xf>
    <xf borderId="9" fillId="2" fontId="7" numFmtId="165" xfId="0" applyAlignment="1" applyBorder="1" applyFont="1" applyNumberFormat="1">
      <alignment horizontal="left"/>
    </xf>
    <xf borderId="13" fillId="2" fontId="69" numFmtId="166" xfId="0" applyAlignment="1" applyBorder="1" applyFont="1" applyNumberFormat="1">
      <alignment horizontal="left"/>
    </xf>
    <xf borderId="14" fillId="2" fontId="69" numFmtId="165" xfId="0" applyAlignment="1" applyBorder="1" applyFont="1" applyNumberFormat="1">
      <alignment shrinkToFit="0" vertical="center" wrapText="1"/>
    </xf>
    <xf borderId="9" fillId="2" fontId="69" numFmtId="165" xfId="0" applyAlignment="1" applyBorder="1" applyFont="1" applyNumberFormat="1">
      <alignment horizontal="left"/>
    </xf>
    <xf borderId="14" fillId="2" fontId="69" numFmtId="165" xfId="0" applyAlignment="1" applyBorder="1" applyFont="1" applyNumberFormat="1">
      <alignment horizontal="center" shrinkToFit="0" vertical="center" wrapText="1"/>
    </xf>
    <xf borderId="14" fillId="2" fontId="69" numFmtId="3" xfId="0" applyAlignment="1" applyBorder="1" applyFont="1" applyNumberFormat="1">
      <alignment horizontal="right" shrinkToFit="0" vertical="center" wrapText="1"/>
    </xf>
    <xf borderId="14" fillId="2" fontId="69" numFmtId="165" xfId="0" applyAlignment="1" applyBorder="1" applyFont="1" applyNumberFormat="1">
      <alignment horizontal="right" shrinkToFit="0" vertical="center" wrapText="1"/>
    </xf>
    <xf borderId="14" fillId="2" fontId="69" numFmtId="4" xfId="0" applyAlignment="1" applyBorder="1" applyFont="1" applyNumberFormat="1">
      <alignment horizontal="right" shrinkToFit="0" vertical="bottom" wrapText="0"/>
    </xf>
    <xf borderId="14" fillId="2" fontId="69" numFmtId="167" xfId="0" applyAlignment="1" applyBorder="1" applyFont="1" applyNumberFormat="1">
      <alignment horizontal="right" shrinkToFit="0" vertical="center" wrapText="1"/>
    </xf>
    <xf borderId="14" fillId="0" fontId="8" numFmtId="165" xfId="0" applyAlignment="1" applyBorder="1" applyFont="1" applyNumberFormat="1">
      <alignment horizontal="right" shrinkToFit="0" wrapText="1"/>
    </xf>
    <xf borderId="14" fillId="2" fontId="8" numFmtId="3" xfId="0" applyAlignment="1" applyBorder="1" applyFont="1" applyNumberFormat="1">
      <alignment horizontal="right" shrinkToFit="0" wrapText="1"/>
    </xf>
    <xf borderId="9" fillId="2" fontId="8" numFmtId="165" xfId="0" applyAlignment="1" applyBorder="1" applyFont="1" applyNumberFormat="1">
      <alignment vertical="bottom"/>
    </xf>
    <xf borderId="12" fillId="3" fontId="7" numFmtId="166" xfId="0" applyAlignment="1" applyBorder="1" applyFont="1" applyNumberFormat="1">
      <alignment horizontal="right"/>
    </xf>
    <xf borderId="9" fillId="34" fontId="7" numFmtId="165" xfId="0" applyAlignment="1" applyBorder="1" applyFont="1" applyNumberFormat="1">
      <alignment horizontal="left"/>
    </xf>
    <xf borderId="9" fillId="34" fontId="7" numFmtId="169" xfId="0" applyAlignment="1" applyBorder="1" applyFont="1" applyNumberFormat="1">
      <alignment horizontal="left"/>
    </xf>
    <xf borderId="9" fillId="34" fontId="8" numFmtId="165" xfId="0" applyAlignment="1" applyBorder="1" applyFont="1" applyNumberFormat="1">
      <alignment vertical="bottom"/>
    </xf>
    <xf borderId="12" fillId="34" fontId="7" numFmtId="4" xfId="0" applyAlignment="1" applyBorder="1" applyFont="1" applyNumberFormat="1">
      <alignment horizontal="right"/>
    </xf>
    <xf borderId="12" fillId="34" fontId="7" numFmtId="169" xfId="0" applyAlignment="1" applyBorder="1" applyFont="1" applyNumberFormat="1">
      <alignment horizontal="right"/>
    </xf>
    <xf borderId="4" fillId="0" fontId="10" numFmtId="0" xfId="0" applyAlignment="1" applyBorder="1" applyFont="1">
      <alignment horizontal="center" readingOrder="0" shrinkToFit="0" vertical="center" wrapText="1"/>
    </xf>
    <xf borderId="14" fillId="34" fontId="7" numFmtId="165" xfId="0" applyAlignment="1" applyBorder="1" applyFont="1" applyNumberFormat="1">
      <alignment horizontal="left"/>
    </xf>
    <xf borderId="14" fillId="3" fontId="7" numFmtId="169" xfId="0" applyAlignment="1" applyBorder="1" applyFont="1" applyNumberFormat="1">
      <alignment readingOrder="0"/>
    </xf>
    <xf borderId="14" fillId="3" fontId="7" numFmtId="166" xfId="0" applyAlignment="1" applyBorder="1" applyFont="1" applyNumberFormat="1">
      <alignment readingOrder="0"/>
    </xf>
    <xf borderId="14" fillId="3" fontId="7" numFmtId="165" xfId="0" applyAlignment="1" applyBorder="1" applyFont="1" applyNumberFormat="1">
      <alignment readingOrder="0" shrinkToFit="0" vertical="center" wrapText="1"/>
    </xf>
    <xf borderId="14" fillId="3" fontId="17" numFmtId="4" xfId="0" applyAlignment="1" applyBorder="1" applyFont="1" applyNumberFormat="1">
      <alignment horizontal="right" readingOrder="0" shrinkToFit="0" vertical="center" wrapText="1"/>
    </xf>
    <xf borderId="14" fillId="3" fontId="7" numFmtId="167" xfId="0" applyAlignment="1" applyBorder="1" applyFont="1" applyNumberFormat="1">
      <alignment readingOrder="0"/>
    </xf>
    <xf borderId="2" fillId="0" fontId="19" numFmtId="0" xfId="0" applyAlignment="1" applyBorder="1" applyFont="1">
      <alignment horizontal="center" readingOrder="0" shrinkToFit="0" vertical="center" wrapText="1"/>
    </xf>
    <xf borderId="14" fillId="0" fontId="70" numFmtId="165" xfId="0" applyAlignment="1" applyBorder="1" applyFont="1" applyNumberFormat="1">
      <alignment horizontal="right" readingOrder="0" shrinkToFit="0" vertical="center" wrapText="1"/>
    </xf>
    <xf borderId="14" fillId="0" fontId="70" numFmtId="4" xfId="0" applyAlignment="1" applyBorder="1" applyFont="1" applyNumberFormat="1">
      <alignment horizontal="right" shrinkToFit="0" vertical="center" wrapText="1"/>
    </xf>
    <xf borderId="9" fillId="5" fontId="71" numFmtId="167" xfId="0" applyAlignment="1" applyBorder="1" applyFont="1" applyNumberFormat="1">
      <alignment horizontal="left"/>
    </xf>
    <xf borderId="14" fillId="0" fontId="19" numFmtId="165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&#3585;&#3636;&#3592;&#3585;&#3619;&#3619;&#3617;&#3605;&#3634;&#3617;&#3649;&#3612;&#3609;&#3585;&#3634;&#3619;&#3611;&#3599;&#3636;&#3610;&#3633;&#3605;&#3636;&#3591;&#3634;&#3609;&#3631;%20&#3611;&#3637;%2066%20(&#3626;&#3585;&#3621;&#3609;&#3588;&#3619;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สรุป"/>
      <sheetName val="รายงานเข้าประชุม พจ."/>
      <sheetName val="งบตามแผน"/>
      <sheetName val="งบบริหาร"/>
      <sheetName val="จว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แผนปฏิบัติการ"/>
      <sheetName val="ทะเบียนรวม"/>
      <sheetName val="จว ได้รับจัดสรร"/>
      <sheetName val="สำเนาของ ทะเบียนรว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3" max="3" width="9.86"/>
    <col customWidth="1" min="4" max="4" width="10.86"/>
    <col customWidth="1" min="5" max="5" width="12.14"/>
    <col customWidth="1" min="6" max="6" width="13.29"/>
    <col customWidth="1" min="7" max="7" width="14.0"/>
    <col customWidth="1" min="8" max="8" width="13.29"/>
    <col customWidth="1" min="9" max="9" width="13.86"/>
    <col customWidth="1" min="10" max="10" width="12.0"/>
    <col customWidth="1" min="11" max="11" width="13.0"/>
    <col customWidth="1" min="12" max="12" width="10.86"/>
    <col customWidth="1" min="13" max="13" width="13.14"/>
    <col customWidth="1" min="14" max="14" width="14.57"/>
    <col customWidth="1" min="15" max="15" width="17.86"/>
    <col customWidth="1" min="16" max="16" width="9.86"/>
    <col customWidth="1" min="17" max="17" width="16.29"/>
    <col customWidth="1" min="20" max="21" width="16.14"/>
  </cols>
  <sheetData>
    <row r="1" ht="20.25" customHeight="1">
      <c r="A1" s="1" t="s">
        <v>0</v>
      </c>
      <c r="O1" s="2"/>
      <c r="P1" s="3" t="s">
        <v>1</v>
      </c>
      <c r="V1" s="4"/>
      <c r="W1" s="4"/>
      <c r="X1" s="4"/>
      <c r="Y1" s="4"/>
      <c r="Z1" s="4"/>
    </row>
    <row r="2" ht="20.25" customHeight="1">
      <c r="A2" s="1" t="s">
        <v>2</v>
      </c>
      <c r="O2" s="2"/>
      <c r="P2" s="3" t="s">
        <v>3</v>
      </c>
      <c r="V2" s="4"/>
      <c r="W2" s="4"/>
      <c r="X2" s="4"/>
      <c r="Y2" s="4"/>
      <c r="Z2" s="4"/>
    </row>
    <row r="3" ht="20.25" customHeight="1">
      <c r="A3" s="5" t="s">
        <v>4</v>
      </c>
      <c r="B3" s="5" t="s">
        <v>5</v>
      </c>
      <c r="C3" s="6" t="s">
        <v>6</v>
      </c>
      <c r="D3" s="7"/>
      <c r="E3" s="8"/>
      <c r="F3" s="9" t="s">
        <v>7</v>
      </c>
      <c r="G3" s="7"/>
      <c r="H3" s="8"/>
      <c r="I3" s="9" t="s">
        <v>8</v>
      </c>
      <c r="J3" s="7"/>
      <c r="K3" s="8"/>
      <c r="L3" s="9" t="s">
        <v>9</v>
      </c>
      <c r="M3" s="7"/>
      <c r="N3" s="8"/>
      <c r="O3" s="2"/>
      <c r="P3" s="10" t="s">
        <v>4</v>
      </c>
      <c r="Q3" s="10" t="s">
        <v>10</v>
      </c>
      <c r="R3" s="11" t="s">
        <v>11</v>
      </c>
      <c r="S3" s="7"/>
      <c r="T3" s="7"/>
      <c r="U3" s="8"/>
      <c r="V3" s="4"/>
      <c r="W3" s="4"/>
      <c r="X3" s="4"/>
      <c r="Y3" s="4"/>
      <c r="Z3" s="4"/>
    </row>
    <row r="4" ht="20.25" customHeight="1">
      <c r="A4" s="12"/>
      <c r="B4" s="12"/>
      <c r="E4" s="13"/>
      <c r="F4" s="14"/>
      <c r="G4" s="15"/>
      <c r="H4" s="16"/>
      <c r="I4" s="14"/>
      <c r="J4" s="15"/>
      <c r="K4" s="16"/>
      <c r="L4" s="14"/>
      <c r="M4" s="15"/>
      <c r="N4" s="16"/>
      <c r="O4" s="2"/>
      <c r="P4" s="12"/>
      <c r="Q4" s="12"/>
      <c r="R4" s="14"/>
      <c r="S4" s="15"/>
      <c r="T4" s="15"/>
      <c r="U4" s="16"/>
      <c r="V4" s="4"/>
      <c r="W4" s="4"/>
      <c r="X4" s="4"/>
      <c r="Y4" s="4"/>
      <c r="Z4" s="4"/>
    </row>
    <row r="5" ht="20.25" customHeight="1">
      <c r="A5" s="12"/>
      <c r="B5" s="12"/>
      <c r="C5" s="17" t="s">
        <v>12</v>
      </c>
      <c r="D5" s="7"/>
      <c r="E5" s="8"/>
      <c r="F5" s="18" t="s">
        <v>12</v>
      </c>
      <c r="H5" s="13"/>
      <c r="I5" s="18" t="s">
        <v>12</v>
      </c>
      <c r="K5" s="13"/>
      <c r="L5" s="18" t="s">
        <v>12</v>
      </c>
      <c r="N5" s="13"/>
      <c r="O5" s="2"/>
      <c r="P5" s="12"/>
      <c r="Q5" s="12"/>
      <c r="R5" s="19" t="s">
        <v>12</v>
      </c>
      <c r="S5" s="20"/>
      <c r="T5" s="20"/>
      <c r="U5" s="21"/>
      <c r="V5" s="4"/>
      <c r="W5" s="4"/>
      <c r="X5" s="4"/>
      <c r="Y5" s="4"/>
      <c r="Z5" s="4"/>
    </row>
    <row r="6" ht="20.25" customHeight="1">
      <c r="A6" s="22"/>
      <c r="B6" s="22"/>
      <c r="C6" s="23" t="s">
        <v>13</v>
      </c>
      <c r="D6" s="23" t="s">
        <v>14</v>
      </c>
      <c r="E6" s="24" t="s">
        <v>15</v>
      </c>
      <c r="F6" s="23" t="s">
        <v>13</v>
      </c>
      <c r="G6" s="23" t="s">
        <v>14</v>
      </c>
      <c r="H6" s="24" t="s">
        <v>15</v>
      </c>
      <c r="I6" s="23" t="s">
        <v>13</v>
      </c>
      <c r="J6" s="23" t="s">
        <v>14</v>
      </c>
      <c r="K6" s="24" t="s">
        <v>15</v>
      </c>
      <c r="L6" s="23" t="s">
        <v>13</v>
      </c>
      <c r="M6" s="23" t="s">
        <v>14</v>
      </c>
      <c r="N6" s="24" t="s">
        <v>15</v>
      </c>
      <c r="O6" s="2"/>
      <c r="P6" s="22"/>
      <c r="Q6" s="22"/>
      <c r="R6" s="25" t="s">
        <v>13</v>
      </c>
      <c r="S6" s="25" t="s">
        <v>14</v>
      </c>
      <c r="T6" s="25" t="s">
        <v>15</v>
      </c>
      <c r="U6" s="26" t="s">
        <v>16</v>
      </c>
      <c r="V6" s="4"/>
      <c r="W6" s="4"/>
      <c r="X6" s="4"/>
      <c r="Y6" s="4"/>
      <c r="Z6" s="4"/>
    </row>
    <row r="7" ht="20.25" customHeight="1">
      <c r="A7" s="19"/>
      <c r="B7" s="21"/>
      <c r="C7" s="27"/>
      <c r="D7" s="20"/>
      <c r="E7" s="21"/>
      <c r="F7" s="28"/>
      <c r="G7" s="20"/>
      <c r="H7" s="21"/>
      <c r="I7" s="28"/>
      <c r="J7" s="20"/>
      <c r="K7" s="20"/>
      <c r="L7" s="28"/>
      <c r="M7" s="20"/>
      <c r="N7" s="21"/>
      <c r="O7" s="2"/>
      <c r="P7" s="19"/>
      <c r="Q7" s="21"/>
      <c r="R7" s="27"/>
      <c r="S7" s="20"/>
      <c r="T7" s="21"/>
      <c r="U7" s="26"/>
      <c r="V7" s="4"/>
      <c r="W7" s="4"/>
      <c r="X7" s="4"/>
      <c r="Y7" s="4"/>
      <c r="Z7" s="4"/>
    </row>
    <row r="8" ht="20.25" customHeight="1">
      <c r="A8" s="29">
        <v>1.0</v>
      </c>
      <c r="B8" s="30" t="s">
        <v>17</v>
      </c>
      <c r="C8" s="31">
        <v>16200.0</v>
      </c>
      <c r="D8" s="31">
        <v>16200.0</v>
      </c>
      <c r="E8" s="32">
        <f t="shared" ref="E8:E26" si="2">SUM(C8-D8)</f>
        <v>0</v>
      </c>
      <c r="F8" s="33">
        <v>2850.0</v>
      </c>
      <c r="G8" s="31">
        <v>2850.0</v>
      </c>
      <c r="H8" s="32">
        <f t="shared" ref="H8:H26" si="3">SUM(F8-G8)</f>
        <v>0</v>
      </c>
      <c r="I8" s="34">
        <v>54000.0</v>
      </c>
      <c r="J8" s="35">
        <f>8850+15070+8010+10170+11900</f>
        <v>54000</v>
      </c>
      <c r="K8" s="32">
        <f t="shared" ref="K8:K26" si="4">SUM(I8-J8)</f>
        <v>0</v>
      </c>
      <c r="L8" s="36">
        <v>111100.0</v>
      </c>
      <c r="M8" s="35">
        <f>4301.67+676+2038.35+23112+10577.19+23112+14431.68+699+2044.77+993+23112+6002.34</f>
        <v>111100</v>
      </c>
      <c r="N8" s="37">
        <f t="shared" ref="N8:N27" si="5">SUM(L8-M8)</f>
        <v>0</v>
      </c>
      <c r="O8" s="38"/>
      <c r="P8" s="29">
        <v>1.0</v>
      </c>
      <c r="Q8" s="39" t="s">
        <v>17</v>
      </c>
      <c r="R8" s="40">
        <f t="shared" ref="R8:S8" si="1">C8+F8+I8+L8+C37+F37+I37+L37+C66+F66+I66+L66+C95</f>
        <v>3201510</v>
      </c>
      <c r="S8" s="41">
        <f t="shared" si="1"/>
        <v>3121487.52</v>
      </c>
      <c r="T8" s="42">
        <f t="shared" ref="T8:T27" si="6">R8-S8</f>
        <v>80022.48</v>
      </c>
      <c r="U8" s="43">
        <f t="shared" ref="U8:U27" si="7">S8*100/R8</f>
        <v>97.50047696</v>
      </c>
      <c r="V8" s="44"/>
      <c r="W8" s="44"/>
      <c r="X8" s="44"/>
      <c r="Y8" s="44"/>
      <c r="Z8" s="44"/>
    </row>
    <row r="9" ht="20.25" customHeight="1">
      <c r="A9" s="29">
        <v>2.0</v>
      </c>
      <c r="B9" s="45" t="s">
        <v>18</v>
      </c>
      <c r="C9" s="46">
        <v>4470.0</v>
      </c>
      <c r="D9" s="31">
        <v>4470.0</v>
      </c>
      <c r="E9" s="32">
        <f t="shared" si="2"/>
        <v>0</v>
      </c>
      <c r="F9" s="47">
        <v>4220.0</v>
      </c>
      <c r="G9" s="31">
        <v>4220.0</v>
      </c>
      <c r="H9" s="32">
        <f t="shared" si="3"/>
        <v>0</v>
      </c>
      <c r="I9" s="34">
        <v>3000.0</v>
      </c>
      <c r="J9" s="48">
        <f>1000+1500+500</f>
        <v>3000</v>
      </c>
      <c r="K9" s="32">
        <f t="shared" si="4"/>
        <v>0</v>
      </c>
      <c r="L9" s="49"/>
      <c r="M9" s="50"/>
      <c r="N9" s="51">
        <f t="shared" si="5"/>
        <v>0</v>
      </c>
      <c r="O9" s="38"/>
      <c r="P9" s="29">
        <v>2.0</v>
      </c>
      <c r="Q9" s="52" t="s">
        <v>18</v>
      </c>
      <c r="R9" s="40">
        <f t="shared" ref="R9:R26" si="8">C9+F9+I9+L9+C38+F38+I38+L38+C67+F67+I67+L67</f>
        <v>56570</v>
      </c>
      <c r="S9" s="40">
        <f t="shared" ref="S9:S26" si="9">D9+G9+J9+D38+G38+J38+M38+D67+G67+J67+M67</f>
        <v>56570</v>
      </c>
      <c r="T9" s="42">
        <f t="shared" si="6"/>
        <v>0</v>
      </c>
      <c r="U9" s="43">
        <f t="shared" si="7"/>
        <v>100</v>
      </c>
      <c r="V9" s="44"/>
      <c r="W9" s="44"/>
      <c r="X9" s="44"/>
      <c r="Y9" s="44"/>
      <c r="Z9" s="44"/>
    </row>
    <row r="10" ht="20.25" customHeight="1">
      <c r="A10" s="29">
        <v>3.0</v>
      </c>
      <c r="B10" s="30" t="s">
        <v>19</v>
      </c>
      <c r="C10" s="46">
        <v>4470.0</v>
      </c>
      <c r="D10" s="31">
        <v>4470.0</v>
      </c>
      <c r="E10" s="32">
        <f t="shared" si="2"/>
        <v>0</v>
      </c>
      <c r="F10" s="47">
        <v>4220.0</v>
      </c>
      <c r="G10" s="31">
        <v>4220.0</v>
      </c>
      <c r="H10" s="32">
        <f t="shared" si="3"/>
        <v>0</v>
      </c>
      <c r="I10" s="34">
        <v>5000.0</v>
      </c>
      <c r="J10" s="48">
        <f>1000+2000+2000</f>
        <v>5000</v>
      </c>
      <c r="K10" s="32">
        <f t="shared" si="4"/>
        <v>0</v>
      </c>
      <c r="L10" s="49"/>
      <c r="M10" s="50"/>
      <c r="N10" s="51">
        <f t="shared" si="5"/>
        <v>0</v>
      </c>
      <c r="O10" s="38"/>
      <c r="P10" s="29">
        <v>3.0</v>
      </c>
      <c r="Q10" s="39" t="s">
        <v>19</v>
      </c>
      <c r="R10" s="40">
        <f t="shared" si="8"/>
        <v>52570</v>
      </c>
      <c r="S10" s="40">
        <f t="shared" si="9"/>
        <v>52570</v>
      </c>
      <c r="T10" s="42">
        <f t="shared" si="6"/>
        <v>0</v>
      </c>
      <c r="U10" s="43">
        <f t="shared" si="7"/>
        <v>100</v>
      </c>
      <c r="V10" s="44"/>
      <c r="W10" s="44"/>
      <c r="X10" s="44"/>
      <c r="Y10" s="44"/>
      <c r="Z10" s="44"/>
    </row>
    <row r="11" ht="20.25" customHeight="1">
      <c r="A11" s="29">
        <v>4.0</v>
      </c>
      <c r="B11" s="30" t="s">
        <v>20</v>
      </c>
      <c r="C11" s="46">
        <v>4000.0</v>
      </c>
      <c r="D11" s="31">
        <v>4000.0</v>
      </c>
      <c r="E11" s="32">
        <f t="shared" si="2"/>
        <v>0</v>
      </c>
      <c r="F11" s="47">
        <v>3500.0</v>
      </c>
      <c r="G11" s="31">
        <v>3500.0</v>
      </c>
      <c r="H11" s="32">
        <f t="shared" si="3"/>
        <v>0</v>
      </c>
      <c r="I11" s="34">
        <v>5000.0</v>
      </c>
      <c r="J11" s="48">
        <f>1500+2000+1500</f>
        <v>5000</v>
      </c>
      <c r="K11" s="32">
        <f t="shared" si="4"/>
        <v>0</v>
      </c>
      <c r="L11" s="49"/>
      <c r="M11" s="50"/>
      <c r="N11" s="51">
        <f t="shared" si="5"/>
        <v>0</v>
      </c>
      <c r="O11" s="38"/>
      <c r="P11" s="29">
        <v>4.0</v>
      </c>
      <c r="Q11" s="39" t="s">
        <v>20</v>
      </c>
      <c r="R11" s="40">
        <f t="shared" si="8"/>
        <v>51380</v>
      </c>
      <c r="S11" s="40">
        <f t="shared" si="9"/>
        <v>51380</v>
      </c>
      <c r="T11" s="42">
        <f t="shared" si="6"/>
        <v>0</v>
      </c>
      <c r="U11" s="43">
        <f t="shared" si="7"/>
        <v>100</v>
      </c>
      <c r="V11" s="44"/>
      <c r="W11" s="44"/>
      <c r="X11" s="44"/>
      <c r="Y11" s="44"/>
      <c r="Z11" s="44"/>
    </row>
    <row r="12" ht="20.25" customHeight="1">
      <c r="A12" s="29">
        <v>5.0</v>
      </c>
      <c r="B12" s="30" t="s">
        <v>21</v>
      </c>
      <c r="C12" s="46">
        <v>3730.0</v>
      </c>
      <c r="D12" s="31">
        <v>3730.0</v>
      </c>
      <c r="E12" s="32">
        <f t="shared" si="2"/>
        <v>0</v>
      </c>
      <c r="F12" s="47">
        <v>3540.0</v>
      </c>
      <c r="G12" s="31">
        <v>3540.0</v>
      </c>
      <c r="H12" s="32">
        <f t="shared" si="3"/>
        <v>0</v>
      </c>
      <c r="I12" s="34">
        <v>3000.0</v>
      </c>
      <c r="J12" s="53">
        <f>1000+1000+1000</f>
        <v>3000</v>
      </c>
      <c r="K12" s="32">
        <f t="shared" si="4"/>
        <v>0</v>
      </c>
      <c r="L12" s="49"/>
      <c r="M12" s="50"/>
      <c r="N12" s="51">
        <f t="shared" si="5"/>
        <v>0</v>
      </c>
      <c r="O12" s="38"/>
      <c r="P12" s="29">
        <v>5.0</v>
      </c>
      <c r="Q12" s="39" t="s">
        <v>21</v>
      </c>
      <c r="R12" s="40">
        <f t="shared" si="8"/>
        <v>43150</v>
      </c>
      <c r="S12" s="40">
        <f t="shared" si="9"/>
        <v>43150</v>
      </c>
      <c r="T12" s="42">
        <f t="shared" si="6"/>
        <v>0</v>
      </c>
      <c r="U12" s="43">
        <f t="shared" si="7"/>
        <v>100</v>
      </c>
      <c r="V12" s="44"/>
      <c r="W12" s="44"/>
      <c r="X12" s="44"/>
      <c r="Y12" s="44"/>
      <c r="Z12" s="44"/>
    </row>
    <row r="13" ht="20.25" customHeight="1">
      <c r="A13" s="29">
        <v>6.0</v>
      </c>
      <c r="B13" s="30" t="s">
        <v>22</v>
      </c>
      <c r="C13" s="46">
        <v>3230.0</v>
      </c>
      <c r="D13" s="31">
        <v>3230.0</v>
      </c>
      <c r="E13" s="32">
        <f t="shared" si="2"/>
        <v>0</v>
      </c>
      <c r="F13" s="47">
        <v>3000.0</v>
      </c>
      <c r="G13" s="31">
        <v>3000.0</v>
      </c>
      <c r="H13" s="32">
        <f t="shared" si="3"/>
        <v>0</v>
      </c>
      <c r="I13" s="34">
        <v>6000.0</v>
      </c>
      <c r="J13" s="53">
        <f>3400+2600</f>
        <v>6000</v>
      </c>
      <c r="K13" s="32">
        <f t="shared" si="4"/>
        <v>0</v>
      </c>
      <c r="L13" s="49"/>
      <c r="M13" s="50"/>
      <c r="N13" s="51">
        <f t="shared" si="5"/>
        <v>0</v>
      </c>
      <c r="O13" s="38"/>
      <c r="P13" s="29">
        <v>6.0</v>
      </c>
      <c r="Q13" s="39" t="s">
        <v>22</v>
      </c>
      <c r="R13" s="40">
        <f t="shared" si="8"/>
        <v>43910</v>
      </c>
      <c r="S13" s="40">
        <f t="shared" si="9"/>
        <v>43910</v>
      </c>
      <c r="T13" s="42">
        <f t="shared" si="6"/>
        <v>0</v>
      </c>
      <c r="U13" s="43">
        <f t="shared" si="7"/>
        <v>100</v>
      </c>
      <c r="V13" s="44"/>
      <c r="W13" s="44"/>
      <c r="X13" s="44"/>
      <c r="Y13" s="44"/>
      <c r="Z13" s="44"/>
    </row>
    <row r="14" ht="20.25" customHeight="1">
      <c r="A14" s="29">
        <v>7.0</v>
      </c>
      <c r="B14" s="30" t="s">
        <v>23</v>
      </c>
      <c r="C14" s="46">
        <v>3000.0</v>
      </c>
      <c r="D14" s="31">
        <v>3000.0</v>
      </c>
      <c r="E14" s="32">
        <f t="shared" si="2"/>
        <v>0</v>
      </c>
      <c r="F14" s="47">
        <v>2800.0</v>
      </c>
      <c r="G14" s="31">
        <v>2800.0</v>
      </c>
      <c r="H14" s="32">
        <f t="shared" si="3"/>
        <v>0</v>
      </c>
      <c r="I14" s="34">
        <v>3000.0</v>
      </c>
      <c r="J14" s="53">
        <f>1500+1500</f>
        <v>3000</v>
      </c>
      <c r="K14" s="32">
        <f t="shared" si="4"/>
        <v>0</v>
      </c>
      <c r="L14" s="49"/>
      <c r="M14" s="50"/>
      <c r="N14" s="51">
        <f t="shared" si="5"/>
        <v>0</v>
      </c>
      <c r="O14" s="38"/>
      <c r="P14" s="29">
        <v>7.0</v>
      </c>
      <c r="Q14" s="39" t="s">
        <v>23</v>
      </c>
      <c r="R14" s="40">
        <f t="shared" si="8"/>
        <v>40480</v>
      </c>
      <c r="S14" s="40">
        <f t="shared" si="9"/>
        <v>40480</v>
      </c>
      <c r="T14" s="42">
        <f t="shared" si="6"/>
        <v>0</v>
      </c>
      <c r="U14" s="43">
        <f t="shared" si="7"/>
        <v>100</v>
      </c>
      <c r="V14" s="44"/>
      <c r="W14" s="44"/>
      <c r="X14" s="44"/>
      <c r="Y14" s="44"/>
      <c r="Z14" s="44"/>
    </row>
    <row r="15" ht="20.25" customHeight="1">
      <c r="A15" s="29">
        <v>8.0</v>
      </c>
      <c r="B15" s="30" t="s">
        <v>24</v>
      </c>
      <c r="C15" s="46">
        <v>2480.0</v>
      </c>
      <c r="D15" s="31">
        <v>2480.0</v>
      </c>
      <c r="E15" s="32">
        <f t="shared" si="2"/>
        <v>0</v>
      </c>
      <c r="F15" s="47">
        <v>2360.0</v>
      </c>
      <c r="G15" s="31">
        <v>2360.0</v>
      </c>
      <c r="H15" s="32">
        <f t="shared" si="3"/>
        <v>0</v>
      </c>
      <c r="I15" s="34">
        <v>3000.0</v>
      </c>
      <c r="J15" s="53">
        <f>1000+1000+1000</f>
        <v>3000</v>
      </c>
      <c r="K15" s="32">
        <f t="shared" si="4"/>
        <v>0</v>
      </c>
      <c r="L15" s="49"/>
      <c r="M15" s="50"/>
      <c r="N15" s="51">
        <f t="shared" si="5"/>
        <v>0</v>
      </c>
      <c r="O15" s="38"/>
      <c r="P15" s="29">
        <v>8.0</v>
      </c>
      <c r="Q15" s="39" t="s">
        <v>24</v>
      </c>
      <c r="R15" s="40">
        <f t="shared" si="8"/>
        <v>32320</v>
      </c>
      <c r="S15" s="40">
        <f t="shared" si="9"/>
        <v>32320</v>
      </c>
      <c r="T15" s="42">
        <f t="shared" si="6"/>
        <v>0</v>
      </c>
      <c r="U15" s="43">
        <f t="shared" si="7"/>
        <v>100</v>
      </c>
      <c r="V15" s="44"/>
      <c r="W15" s="44"/>
      <c r="X15" s="44"/>
      <c r="Y15" s="44"/>
      <c r="Z15" s="44"/>
    </row>
    <row r="16" ht="20.25" customHeight="1">
      <c r="A16" s="29">
        <v>9.0</v>
      </c>
      <c r="B16" s="30" t="s">
        <v>25</v>
      </c>
      <c r="C16" s="46">
        <v>2485.0</v>
      </c>
      <c r="D16" s="31">
        <v>2485.0</v>
      </c>
      <c r="E16" s="32">
        <f t="shared" si="2"/>
        <v>0</v>
      </c>
      <c r="F16" s="47">
        <v>2360.0</v>
      </c>
      <c r="G16" s="31">
        <v>2360.0</v>
      </c>
      <c r="H16" s="32">
        <f t="shared" si="3"/>
        <v>0</v>
      </c>
      <c r="I16" s="34">
        <v>3000.0</v>
      </c>
      <c r="J16" s="48">
        <v>3000.0</v>
      </c>
      <c r="K16" s="32">
        <f t="shared" si="4"/>
        <v>0</v>
      </c>
      <c r="L16" s="49"/>
      <c r="M16" s="50"/>
      <c r="N16" s="51">
        <f t="shared" si="5"/>
        <v>0</v>
      </c>
      <c r="O16" s="38"/>
      <c r="P16" s="29">
        <v>9.0</v>
      </c>
      <c r="Q16" s="39" t="s">
        <v>25</v>
      </c>
      <c r="R16" s="40">
        <f t="shared" si="8"/>
        <v>31125</v>
      </c>
      <c r="S16" s="40">
        <f t="shared" si="9"/>
        <v>31125</v>
      </c>
      <c r="T16" s="42">
        <f t="shared" si="6"/>
        <v>0</v>
      </c>
      <c r="U16" s="43">
        <f t="shared" si="7"/>
        <v>100</v>
      </c>
      <c r="V16" s="44"/>
      <c r="W16" s="44"/>
      <c r="X16" s="44"/>
      <c r="Y16" s="44"/>
      <c r="Z16" s="44"/>
    </row>
    <row r="17" ht="20.25" customHeight="1">
      <c r="A17" s="29">
        <v>10.0</v>
      </c>
      <c r="B17" s="30" t="s">
        <v>26</v>
      </c>
      <c r="C17" s="46">
        <v>2480.0</v>
      </c>
      <c r="D17" s="31">
        <v>2480.0</v>
      </c>
      <c r="E17" s="32">
        <f t="shared" si="2"/>
        <v>0</v>
      </c>
      <c r="F17" s="47">
        <v>2360.0</v>
      </c>
      <c r="G17" s="31">
        <v>2360.0</v>
      </c>
      <c r="H17" s="32">
        <f t="shared" si="3"/>
        <v>0</v>
      </c>
      <c r="I17" s="34">
        <v>3000.0</v>
      </c>
      <c r="J17" s="48">
        <f>1200+800+1000</f>
        <v>3000</v>
      </c>
      <c r="K17" s="32">
        <f t="shared" si="4"/>
        <v>0</v>
      </c>
      <c r="L17" s="49"/>
      <c r="M17" s="50"/>
      <c r="N17" s="51">
        <f t="shared" si="5"/>
        <v>0</v>
      </c>
      <c r="O17" s="38"/>
      <c r="P17" s="29">
        <v>10.0</v>
      </c>
      <c r="Q17" s="39" t="s">
        <v>26</v>
      </c>
      <c r="R17" s="40">
        <f t="shared" si="8"/>
        <v>25120</v>
      </c>
      <c r="S17" s="40">
        <f t="shared" si="9"/>
        <v>25120</v>
      </c>
      <c r="T17" s="42">
        <f t="shared" si="6"/>
        <v>0</v>
      </c>
      <c r="U17" s="43">
        <f t="shared" si="7"/>
        <v>100</v>
      </c>
      <c r="V17" s="44"/>
      <c r="W17" s="44"/>
      <c r="X17" s="44"/>
      <c r="Y17" s="44"/>
      <c r="Z17" s="44"/>
    </row>
    <row r="18" ht="20.25" customHeight="1">
      <c r="A18" s="29">
        <v>11.0</v>
      </c>
      <c r="B18" s="30" t="s">
        <v>27</v>
      </c>
      <c r="C18" s="46">
        <v>2485.0</v>
      </c>
      <c r="D18" s="31">
        <v>2485.0</v>
      </c>
      <c r="E18" s="32">
        <f t="shared" si="2"/>
        <v>0</v>
      </c>
      <c r="F18" s="47">
        <v>2360.0</v>
      </c>
      <c r="G18" s="31">
        <v>2360.0</v>
      </c>
      <c r="H18" s="32">
        <f t="shared" si="3"/>
        <v>0</v>
      </c>
      <c r="I18" s="34">
        <v>4000.0</v>
      </c>
      <c r="J18" s="48">
        <f>2000+2000</f>
        <v>4000</v>
      </c>
      <c r="K18" s="32">
        <f t="shared" si="4"/>
        <v>0</v>
      </c>
      <c r="L18" s="49"/>
      <c r="M18" s="50"/>
      <c r="N18" s="51">
        <f t="shared" si="5"/>
        <v>0</v>
      </c>
      <c r="O18" s="38"/>
      <c r="P18" s="29">
        <v>11.0</v>
      </c>
      <c r="Q18" s="39" t="s">
        <v>27</v>
      </c>
      <c r="R18" s="40">
        <f t="shared" si="8"/>
        <v>33325</v>
      </c>
      <c r="S18" s="40">
        <f t="shared" si="9"/>
        <v>33325</v>
      </c>
      <c r="T18" s="42">
        <f t="shared" si="6"/>
        <v>0</v>
      </c>
      <c r="U18" s="43">
        <f t="shared" si="7"/>
        <v>100</v>
      </c>
      <c r="V18" s="44"/>
      <c r="W18" s="44"/>
      <c r="X18" s="44"/>
      <c r="Y18" s="44"/>
      <c r="Z18" s="44"/>
    </row>
    <row r="19" ht="20.25" customHeight="1">
      <c r="A19" s="29">
        <v>12.0</v>
      </c>
      <c r="B19" s="30" t="s">
        <v>28</v>
      </c>
      <c r="C19" s="46">
        <v>2485.0</v>
      </c>
      <c r="D19" s="31">
        <v>2485.0</v>
      </c>
      <c r="E19" s="32">
        <f t="shared" si="2"/>
        <v>0</v>
      </c>
      <c r="F19" s="47">
        <v>2360.0</v>
      </c>
      <c r="G19" s="31">
        <v>2360.0</v>
      </c>
      <c r="H19" s="32">
        <f t="shared" si="3"/>
        <v>0</v>
      </c>
      <c r="I19" s="34">
        <v>2000.0</v>
      </c>
      <c r="J19" s="48">
        <f t="shared" ref="J19:J20" si="10">1000+1000</f>
        <v>2000</v>
      </c>
      <c r="K19" s="32">
        <f t="shared" si="4"/>
        <v>0</v>
      </c>
      <c r="L19" s="49"/>
      <c r="M19" s="50"/>
      <c r="N19" s="51">
        <f t="shared" si="5"/>
        <v>0</v>
      </c>
      <c r="O19" s="38"/>
      <c r="P19" s="29">
        <v>12.0</v>
      </c>
      <c r="Q19" s="39" t="s">
        <v>28</v>
      </c>
      <c r="R19" s="40">
        <f t="shared" si="8"/>
        <v>31325</v>
      </c>
      <c r="S19" s="40">
        <f t="shared" si="9"/>
        <v>31325</v>
      </c>
      <c r="T19" s="42">
        <f t="shared" si="6"/>
        <v>0</v>
      </c>
      <c r="U19" s="43">
        <f t="shared" si="7"/>
        <v>100</v>
      </c>
      <c r="V19" s="44"/>
      <c r="W19" s="44"/>
      <c r="X19" s="44"/>
      <c r="Y19" s="44"/>
      <c r="Z19" s="44"/>
    </row>
    <row r="20" ht="20.25" customHeight="1">
      <c r="A20" s="29">
        <v>13.0</v>
      </c>
      <c r="B20" s="30" t="s">
        <v>29</v>
      </c>
      <c r="C20" s="46">
        <v>1865.0</v>
      </c>
      <c r="D20" s="31">
        <v>1865.0</v>
      </c>
      <c r="E20" s="32">
        <f t="shared" si="2"/>
        <v>0</v>
      </c>
      <c r="F20" s="47">
        <v>1770.0</v>
      </c>
      <c r="G20" s="31">
        <v>1770.0</v>
      </c>
      <c r="H20" s="32">
        <f t="shared" si="3"/>
        <v>0</v>
      </c>
      <c r="I20" s="34">
        <v>2000.0</v>
      </c>
      <c r="J20" s="53">
        <f t="shared" si="10"/>
        <v>2000</v>
      </c>
      <c r="K20" s="32">
        <f t="shared" si="4"/>
        <v>0</v>
      </c>
      <c r="L20" s="49"/>
      <c r="M20" s="54"/>
      <c r="N20" s="51">
        <f t="shared" si="5"/>
        <v>0</v>
      </c>
      <c r="O20" s="38"/>
      <c r="P20" s="29">
        <v>13.0</v>
      </c>
      <c r="Q20" s="39" t="s">
        <v>29</v>
      </c>
      <c r="R20" s="40">
        <f t="shared" si="8"/>
        <v>22915</v>
      </c>
      <c r="S20" s="40">
        <f t="shared" si="9"/>
        <v>22915</v>
      </c>
      <c r="T20" s="42">
        <f t="shared" si="6"/>
        <v>0</v>
      </c>
      <c r="U20" s="43">
        <f t="shared" si="7"/>
        <v>100</v>
      </c>
      <c r="V20" s="44"/>
      <c r="W20" s="44"/>
      <c r="X20" s="44"/>
      <c r="Y20" s="44"/>
      <c r="Z20" s="44"/>
    </row>
    <row r="21" ht="20.25" customHeight="1">
      <c r="A21" s="29">
        <v>14.0</v>
      </c>
      <c r="B21" s="30" t="s">
        <v>30</v>
      </c>
      <c r="C21" s="46">
        <v>1865.0</v>
      </c>
      <c r="D21" s="31">
        <v>1865.0</v>
      </c>
      <c r="E21" s="32">
        <f t="shared" si="2"/>
        <v>0</v>
      </c>
      <c r="F21" s="47">
        <v>1770.0</v>
      </c>
      <c r="G21" s="31">
        <v>1770.0</v>
      </c>
      <c r="H21" s="32">
        <f t="shared" si="3"/>
        <v>0</v>
      </c>
      <c r="I21" s="34">
        <v>3000.0</v>
      </c>
      <c r="J21" s="53">
        <f>1000+1000+1000</f>
        <v>3000</v>
      </c>
      <c r="K21" s="32">
        <f t="shared" si="4"/>
        <v>0</v>
      </c>
      <c r="L21" s="49"/>
      <c r="M21" s="50"/>
      <c r="N21" s="51">
        <f t="shared" si="5"/>
        <v>0</v>
      </c>
      <c r="O21" s="38"/>
      <c r="P21" s="29">
        <v>14.0</v>
      </c>
      <c r="Q21" s="39" t="s">
        <v>30</v>
      </c>
      <c r="R21" s="40">
        <f t="shared" si="8"/>
        <v>23915</v>
      </c>
      <c r="S21" s="40">
        <f t="shared" si="9"/>
        <v>23915</v>
      </c>
      <c r="T21" s="42">
        <f t="shared" si="6"/>
        <v>0</v>
      </c>
      <c r="U21" s="43">
        <f t="shared" si="7"/>
        <v>100</v>
      </c>
      <c r="V21" s="44"/>
      <c r="W21" s="44"/>
      <c r="X21" s="44"/>
      <c r="Y21" s="44"/>
      <c r="Z21" s="44"/>
    </row>
    <row r="22" ht="20.25" customHeight="1">
      <c r="A22" s="29">
        <v>15.0</v>
      </c>
      <c r="B22" s="30" t="s">
        <v>31</v>
      </c>
      <c r="C22" s="46">
        <v>1865.0</v>
      </c>
      <c r="D22" s="31">
        <v>1865.0</v>
      </c>
      <c r="E22" s="32">
        <f t="shared" si="2"/>
        <v>0</v>
      </c>
      <c r="F22" s="47">
        <v>1770.0</v>
      </c>
      <c r="G22" s="31">
        <v>1770.0</v>
      </c>
      <c r="H22" s="32">
        <f t="shared" si="3"/>
        <v>0</v>
      </c>
      <c r="I22" s="34">
        <v>4000.0</v>
      </c>
      <c r="J22" s="53">
        <f>1000+1000+1000+1000</f>
        <v>4000</v>
      </c>
      <c r="K22" s="32">
        <f t="shared" si="4"/>
        <v>0</v>
      </c>
      <c r="L22" s="49"/>
      <c r="M22" s="50"/>
      <c r="N22" s="51">
        <f t="shared" si="5"/>
        <v>0</v>
      </c>
      <c r="O22" s="38"/>
      <c r="P22" s="29">
        <v>15.0</v>
      </c>
      <c r="Q22" s="39" t="s">
        <v>31</v>
      </c>
      <c r="R22" s="40">
        <f t="shared" si="8"/>
        <v>24915</v>
      </c>
      <c r="S22" s="40">
        <f t="shared" si="9"/>
        <v>24915</v>
      </c>
      <c r="T22" s="42">
        <f t="shared" si="6"/>
        <v>0</v>
      </c>
      <c r="U22" s="43">
        <f t="shared" si="7"/>
        <v>100</v>
      </c>
      <c r="V22" s="44"/>
      <c r="W22" s="44"/>
      <c r="X22" s="44"/>
      <c r="Y22" s="44"/>
      <c r="Z22" s="44"/>
    </row>
    <row r="23" ht="20.25" customHeight="1">
      <c r="A23" s="29">
        <v>16.0</v>
      </c>
      <c r="B23" s="30" t="s">
        <v>32</v>
      </c>
      <c r="C23" s="46">
        <v>1865.0</v>
      </c>
      <c r="D23" s="31">
        <v>1865.0</v>
      </c>
      <c r="E23" s="32">
        <f t="shared" si="2"/>
        <v>0</v>
      </c>
      <c r="F23" s="47">
        <v>1770.0</v>
      </c>
      <c r="G23" s="31">
        <v>1770.0</v>
      </c>
      <c r="H23" s="32">
        <f t="shared" si="3"/>
        <v>0</v>
      </c>
      <c r="I23" s="34">
        <v>4000.0</v>
      </c>
      <c r="J23" s="48">
        <f>2000+2000</f>
        <v>4000</v>
      </c>
      <c r="K23" s="32">
        <f t="shared" si="4"/>
        <v>0</v>
      </c>
      <c r="L23" s="49"/>
      <c r="M23" s="50"/>
      <c r="N23" s="51">
        <f t="shared" si="5"/>
        <v>0</v>
      </c>
      <c r="O23" s="38"/>
      <c r="P23" s="29">
        <v>16.0</v>
      </c>
      <c r="Q23" s="39" t="s">
        <v>32</v>
      </c>
      <c r="R23" s="40">
        <f t="shared" si="8"/>
        <v>24915</v>
      </c>
      <c r="S23" s="40">
        <f t="shared" si="9"/>
        <v>24915</v>
      </c>
      <c r="T23" s="42">
        <f t="shared" si="6"/>
        <v>0</v>
      </c>
      <c r="U23" s="43">
        <f t="shared" si="7"/>
        <v>100</v>
      </c>
      <c r="V23" s="44"/>
      <c r="W23" s="44"/>
      <c r="X23" s="44"/>
      <c r="Y23" s="44"/>
      <c r="Z23" s="44"/>
    </row>
    <row r="24" ht="20.25" customHeight="1">
      <c r="A24" s="29">
        <v>17.0</v>
      </c>
      <c r="B24" s="30" t="s">
        <v>33</v>
      </c>
      <c r="C24" s="46">
        <v>1865.0</v>
      </c>
      <c r="D24" s="31">
        <v>1865.0</v>
      </c>
      <c r="E24" s="32">
        <f t="shared" si="2"/>
        <v>0</v>
      </c>
      <c r="F24" s="47">
        <v>1770.0</v>
      </c>
      <c r="G24" s="31">
        <v>1770.0</v>
      </c>
      <c r="H24" s="32">
        <f t="shared" si="3"/>
        <v>0</v>
      </c>
      <c r="I24" s="34">
        <v>2000.0</v>
      </c>
      <c r="J24" s="53">
        <f>1000+1000</f>
        <v>2000</v>
      </c>
      <c r="K24" s="32">
        <f t="shared" si="4"/>
        <v>0</v>
      </c>
      <c r="L24" s="49"/>
      <c r="M24" s="50"/>
      <c r="N24" s="51">
        <f t="shared" si="5"/>
        <v>0</v>
      </c>
      <c r="O24" s="38"/>
      <c r="P24" s="29">
        <v>17.0</v>
      </c>
      <c r="Q24" s="39" t="s">
        <v>33</v>
      </c>
      <c r="R24" s="40">
        <f t="shared" si="8"/>
        <v>24115</v>
      </c>
      <c r="S24" s="40">
        <f t="shared" si="9"/>
        <v>24115</v>
      </c>
      <c r="T24" s="42">
        <f t="shared" si="6"/>
        <v>0</v>
      </c>
      <c r="U24" s="43">
        <f t="shared" si="7"/>
        <v>100</v>
      </c>
      <c r="V24" s="44"/>
      <c r="W24" s="44"/>
      <c r="X24" s="44"/>
      <c r="Y24" s="44"/>
      <c r="Z24" s="44"/>
    </row>
    <row r="25" ht="20.25" customHeight="1">
      <c r="A25" s="29">
        <v>18.0</v>
      </c>
      <c r="B25" s="30" t="s">
        <v>34</v>
      </c>
      <c r="C25" s="46">
        <v>2485.0</v>
      </c>
      <c r="D25" s="31">
        <v>2485.0</v>
      </c>
      <c r="E25" s="32">
        <f t="shared" si="2"/>
        <v>0</v>
      </c>
      <c r="F25" s="47">
        <v>2360.0</v>
      </c>
      <c r="G25" s="31">
        <v>2360.0</v>
      </c>
      <c r="H25" s="32">
        <f t="shared" si="3"/>
        <v>0</v>
      </c>
      <c r="I25" s="34">
        <v>3000.0</v>
      </c>
      <c r="J25" s="53">
        <f>1500+1500</f>
        <v>3000</v>
      </c>
      <c r="K25" s="32">
        <f t="shared" si="4"/>
        <v>0</v>
      </c>
      <c r="L25" s="49"/>
      <c r="M25" s="50"/>
      <c r="N25" s="51">
        <f t="shared" si="5"/>
        <v>0</v>
      </c>
      <c r="O25" s="38"/>
      <c r="P25" s="29">
        <v>18.0</v>
      </c>
      <c r="Q25" s="39" t="s">
        <v>34</v>
      </c>
      <c r="R25" s="40">
        <f t="shared" si="8"/>
        <v>32325</v>
      </c>
      <c r="S25" s="40">
        <f t="shared" si="9"/>
        <v>32325</v>
      </c>
      <c r="T25" s="42">
        <f t="shared" si="6"/>
        <v>0</v>
      </c>
      <c r="U25" s="43">
        <f t="shared" si="7"/>
        <v>100</v>
      </c>
      <c r="V25" s="44"/>
      <c r="W25" s="44"/>
      <c r="X25" s="44"/>
      <c r="Y25" s="44"/>
      <c r="Z25" s="44"/>
    </row>
    <row r="26" ht="20.25" customHeight="1">
      <c r="A26" s="29">
        <v>19.0</v>
      </c>
      <c r="B26" s="55" t="s">
        <v>35</v>
      </c>
      <c r="C26" s="46">
        <v>1865.0</v>
      </c>
      <c r="D26" s="31">
        <v>1865.0</v>
      </c>
      <c r="E26" s="32">
        <f t="shared" si="2"/>
        <v>0</v>
      </c>
      <c r="F26" s="47">
        <v>1770.0</v>
      </c>
      <c r="G26" s="31">
        <v>1770.0</v>
      </c>
      <c r="H26" s="32">
        <f t="shared" si="3"/>
        <v>0</v>
      </c>
      <c r="I26" s="34">
        <v>2000.0</v>
      </c>
      <c r="J26" s="48">
        <v>2000.0</v>
      </c>
      <c r="K26" s="32">
        <f t="shared" si="4"/>
        <v>0</v>
      </c>
      <c r="L26" s="49"/>
      <c r="M26" s="50"/>
      <c r="N26" s="51">
        <f t="shared" si="5"/>
        <v>0</v>
      </c>
      <c r="O26" s="38"/>
      <c r="P26" s="29">
        <v>19.0</v>
      </c>
      <c r="Q26" s="56" t="s">
        <v>35</v>
      </c>
      <c r="R26" s="40">
        <f t="shared" si="8"/>
        <v>22915</v>
      </c>
      <c r="S26" s="40">
        <f t="shared" si="9"/>
        <v>22915</v>
      </c>
      <c r="T26" s="42">
        <f t="shared" si="6"/>
        <v>0</v>
      </c>
      <c r="U26" s="43">
        <f t="shared" si="7"/>
        <v>100</v>
      </c>
      <c r="V26" s="44"/>
      <c r="W26" s="44"/>
      <c r="X26" s="44"/>
      <c r="Y26" s="44"/>
      <c r="Z26" s="44"/>
    </row>
    <row r="27" ht="20.25" customHeight="1">
      <c r="A27" s="57" t="s">
        <v>36</v>
      </c>
      <c r="B27" s="21"/>
      <c r="C27" s="58">
        <f t="shared" ref="C27:M27" si="11">SUM(C8:C26)</f>
        <v>65190</v>
      </c>
      <c r="D27" s="58">
        <f t="shared" si="11"/>
        <v>65190</v>
      </c>
      <c r="E27" s="59">
        <f t="shared" si="11"/>
        <v>0</v>
      </c>
      <c r="F27" s="58">
        <f t="shared" si="11"/>
        <v>48910</v>
      </c>
      <c r="G27" s="58">
        <f t="shared" si="11"/>
        <v>48910</v>
      </c>
      <c r="H27" s="59">
        <f t="shared" si="11"/>
        <v>0</v>
      </c>
      <c r="I27" s="60">
        <f t="shared" si="11"/>
        <v>114000</v>
      </c>
      <c r="J27" s="61">
        <f t="shared" si="11"/>
        <v>114000</v>
      </c>
      <c r="K27" s="59">
        <f t="shared" si="11"/>
        <v>0</v>
      </c>
      <c r="L27" s="60">
        <f t="shared" si="11"/>
        <v>111100</v>
      </c>
      <c r="M27" s="60">
        <f t="shared" si="11"/>
        <v>111100</v>
      </c>
      <c r="N27" s="37">
        <f t="shared" si="5"/>
        <v>0</v>
      </c>
      <c r="O27" s="44"/>
      <c r="P27" s="57" t="s">
        <v>36</v>
      </c>
      <c r="Q27" s="21"/>
      <c r="R27" s="62">
        <f t="shared" ref="R27:S27" si="12">SUM(R8:R26)</f>
        <v>3818800</v>
      </c>
      <c r="S27" s="41">
        <f t="shared" si="12"/>
        <v>3738777.52</v>
      </c>
      <c r="T27" s="42">
        <f t="shared" si="6"/>
        <v>80022.48</v>
      </c>
      <c r="U27" s="43">
        <f t="shared" si="7"/>
        <v>97.90451241</v>
      </c>
      <c r="V27" s="44"/>
      <c r="W27" s="44"/>
      <c r="X27" s="44"/>
      <c r="Y27" s="44"/>
      <c r="Z27" s="44"/>
    </row>
    <row r="28" ht="20.25" customHeight="1">
      <c r="A28" s="4"/>
      <c r="B28" s="4"/>
      <c r="C28" s="4"/>
      <c r="D28" s="4"/>
      <c r="E28" s="63"/>
      <c r="F28" s="4"/>
      <c r="G28" s="4"/>
      <c r="H28" s="63"/>
      <c r="I28" s="4"/>
      <c r="J28" s="4"/>
      <c r="K28" s="63"/>
      <c r="L28" s="4"/>
      <c r="M28" s="4"/>
      <c r="N28" s="6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4"/>
      <c r="C29" s="4"/>
      <c r="D29" s="4"/>
      <c r="E29" s="63"/>
      <c r="F29" s="4"/>
      <c r="G29" s="4"/>
      <c r="H29" s="63"/>
      <c r="I29" s="4"/>
      <c r="J29" s="4"/>
      <c r="K29" s="63"/>
      <c r="L29" s="4"/>
      <c r="M29" s="4"/>
      <c r="N29" s="6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1" t="s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" t="s">
        <v>2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64" t="s">
        <v>4</v>
      </c>
      <c r="B32" s="64" t="s">
        <v>5</v>
      </c>
      <c r="C32" s="65" t="s">
        <v>37</v>
      </c>
      <c r="D32" s="7"/>
      <c r="E32" s="8"/>
      <c r="F32" s="9" t="s">
        <v>38</v>
      </c>
      <c r="G32" s="7"/>
      <c r="H32" s="8"/>
      <c r="I32" s="66" t="s">
        <v>39</v>
      </c>
      <c r="J32" s="7"/>
      <c r="K32" s="8"/>
      <c r="L32" s="65" t="s">
        <v>40</v>
      </c>
      <c r="M32" s="7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12"/>
      <c r="B33" s="12"/>
      <c r="E33" s="13"/>
      <c r="F33" s="14"/>
      <c r="G33" s="15"/>
      <c r="H33" s="16"/>
      <c r="I33" s="14"/>
      <c r="J33" s="15"/>
      <c r="K33" s="16"/>
      <c r="N33" s="1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12"/>
      <c r="B34" s="12"/>
      <c r="C34" s="67" t="s">
        <v>12</v>
      </c>
      <c r="D34" s="7"/>
      <c r="E34" s="8"/>
      <c r="F34" s="18" t="s">
        <v>12</v>
      </c>
      <c r="H34" s="13"/>
      <c r="I34" s="68" t="s">
        <v>12</v>
      </c>
      <c r="K34" s="13"/>
      <c r="L34" s="67" t="s">
        <v>12</v>
      </c>
      <c r="M34" s="7"/>
      <c r="N34" s="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22"/>
      <c r="B35" s="22"/>
      <c r="C35" s="69" t="s">
        <v>13</v>
      </c>
      <c r="D35" s="69" t="s">
        <v>14</v>
      </c>
      <c r="E35" s="70" t="s">
        <v>15</v>
      </c>
      <c r="F35" s="23" t="s">
        <v>13</v>
      </c>
      <c r="G35" s="23" t="s">
        <v>14</v>
      </c>
      <c r="H35" s="24" t="s">
        <v>15</v>
      </c>
      <c r="I35" s="69" t="s">
        <v>13</v>
      </c>
      <c r="J35" s="69" t="s">
        <v>14</v>
      </c>
      <c r="K35" s="70" t="s">
        <v>15</v>
      </c>
      <c r="L35" s="69" t="s">
        <v>13</v>
      </c>
      <c r="M35" s="69" t="s">
        <v>14</v>
      </c>
      <c r="N35" s="70" t="s">
        <v>15</v>
      </c>
      <c r="O35" s="71" t="s">
        <v>41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57"/>
      <c r="B36" s="21"/>
      <c r="C36" s="72"/>
      <c r="D36" s="20"/>
      <c r="E36" s="21"/>
      <c r="F36" s="73"/>
      <c r="G36" s="20"/>
      <c r="H36" s="21"/>
      <c r="I36" s="74"/>
      <c r="J36" s="20"/>
      <c r="K36" s="20"/>
      <c r="L36" s="72"/>
      <c r="M36" s="20"/>
      <c r="N36" s="21"/>
      <c r="O36" s="71" t="s">
        <v>42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29">
        <v>1.0</v>
      </c>
      <c r="B37" s="30" t="s">
        <v>17</v>
      </c>
      <c r="C37" s="31">
        <v>17200.0</v>
      </c>
      <c r="D37" s="75">
        <f>1440+3360+1920+1600+480+1440+2160+2400+1200+720+480</f>
        <v>17200</v>
      </c>
      <c r="E37" s="32">
        <f t="shared" ref="E37:E55" si="13">SUM(C37-D37)</f>
        <v>0</v>
      </c>
      <c r="F37" s="76">
        <v>1900200.0</v>
      </c>
      <c r="G37" s="77">
        <f>132500+181200+161900+188918+153000+160900+100+161000+152400+10000+159000+152400+284222+2660</f>
        <v>1900200</v>
      </c>
      <c r="H37" s="32">
        <f t="shared" ref="H37:H55" si="14">SUM(F37-G37)</f>
        <v>0</v>
      </c>
      <c r="I37" s="76">
        <v>69950.0</v>
      </c>
      <c r="J37" s="78">
        <f>2520+2520+3200+3500+2100+2000+2820+3300+3200+9150+13000+2550+4000+14800+1290</f>
        <v>69950</v>
      </c>
      <c r="K37" s="37">
        <f>SUM(I37-J37)</f>
        <v>0</v>
      </c>
      <c r="L37" s="76">
        <v>11700.0</v>
      </c>
      <c r="M37" s="76">
        <v>11700.0</v>
      </c>
      <c r="N37" s="32">
        <f>SUM(L37-M37)</f>
        <v>0</v>
      </c>
      <c r="O37" s="79" t="s">
        <v>43</v>
      </c>
      <c r="P37" s="79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20.25" customHeight="1">
      <c r="A38" s="29">
        <v>2.0</v>
      </c>
      <c r="B38" s="45" t="s">
        <v>18</v>
      </c>
      <c r="C38" s="31">
        <v>44880.0</v>
      </c>
      <c r="D38" s="35">
        <f>7680+7680+7680+7680+7680+6480</f>
        <v>44880</v>
      </c>
      <c r="E38" s="32">
        <f t="shared" si="13"/>
        <v>0</v>
      </c>
      <c r="F38" s="80">
        <v>0.0</v>
      </c>
      <c r="G38" s="80">
        <v>0.0</v>
      </c>
      <c r="H38" s="81">
        <f t="shared" si="14"/>
        <v>0</v>
      </c>
      <c r="I38" s="82"/>
      <c r="J38" s="83"/>
      <c r="K38" s="81"/>
      <c r="L38" s="84"/>
      <c r="M38" s="85"/>
      <c r="N38" s="81"/>
      <c r="O38" s="79" t="s">
        <v>44</v>
      </c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20.25" customHeight="1">
      <c r="A39" s="29">
        <v>3.0</v>
      </c>
      <c r="B39" s="30" t="s">
        <v>19</v>
      </c>
      <c r="C39" s="31">
        <v>38880.0</v>
      </c>
      <c r="D39" s="35">
        <f t="shared" ref="D39:D40" si="15">6480+6480+6480+6480+6480+6480</f>
        <v>38880</v>
      </c>
      <c r="E39" s="32">
        <f t="shared" si="13"/>
        <v>0</v>
      </c>
      <c r="F39" s="80">
        <v>0.0</v>
      </c>
      <c r="G39" s="80">
        <v>0.0</v>
      </c>
      <c r="H39" s="81">
        <f t="shared" si="14"/>
        <v>0</v>
      </c>
      <c r="I39" s="82"/>
      <c r="J39" s="83"/>
      <c r="K39" s="81"/>
      <c r="L39" s="84"/>
      <c r="M39" s="85"/>
      <c r="N39" s="81"/>
      <c r="O39" s="79" t="s">
        <v>45</v>
      </c>
      <c r="P39" s="44"/>
      <c r="Q39" s="44"/>
      <c r="R39" s="44"/>
      <c r="S39" s="44"/>
      <c r="T39" s="44"/>
      <c r="U39" s="44"/>
      <c r="V39" s="86"/>
      <c r="W39" s="44"/>
      <c r="X39" s="44"/>
      <c r="Y39" s="44"/>
      <c r="Z39" s="44"/>
    </row>
    <row r="40" ht="20.25" customHeight="1">
      <c r="A40" s="29">
        <v>4.0</v>
      </c>
      <c r="B40" s="30" t="s">
        <v>20</v>
      </c>
      <c r="C40" s="31">
        <v>38880.0</v>
      </c>
      <c r="D40" s="35">
        <f t="shared" si="15"/>
        <v>38880</v>
      </c>
      <c r="E40" s="32">
        <f t="shared" si="13"/>
        <v>0</v>
      </c>
      <c r="F40" s="80">
        <v>0.0</v>
      </c>
      <c r="G40" s="80">
        <v>0.0</v>
      </c>
      <c r="H40" s="81">
        <f t="shared" si="14"/>
        <v>0</v>
      </c>
      <c r="I40" s="82"/>
      <c r="J40" s="83"/>
      <c r="K40" s="81"/>
      <c r="L40" s="84"/>
      <c r="M40" s="85"/>
      <c r="N40" s="81"/>
      <c r="O40" s="79" t="s">
        <v>46</v>
      </c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20.25" customHeight="1">
      <c r="A41" s="29">
        <v>5.0</v>
      </c>
      <c r="B41" s="30" t="s">
        <v>21</v>
      </c>
      <c r="C41" s="31">
        <v>32880.0</v>
      </c>
      <c r="D41" s="35">
        <f>6480+5280+5280+5280+5280+5280</f>
        <v>32880</v>
      </c>
      <c r="E41" s="32">
        <f t="shared" si="13"/>
        <v>0</v>
      </c>
      <c r="F41" s="80">
        <v>0.0</v>
      </c>
      <c r="G41" s="80">
        <v>0.0</v>
      </c>
      <c r="H41" s="81">
        <f t="shared" si="14"/>
        <v>0</v>
      </c>
      <c r="I41" s="82"/>
      <c r="J41" s="83"/>
      <c r="K41" s="81"/>
      <c r="L41" s="84"/>
      <c r="M41" s="85"/>
      <c r="N41" s="81"/>
      <c r="O41" s="79" t="s">
        <v>47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20.25" customHeight="1">
      <c r="A42" s="29">
        <v>6.0</v>
      </c>
      <c r="B42" s="30" t="s">
        <v>22</v>
      </c>
      <c r="C42" s="31">
        <v>31680.0</v>
      </c>
      <c r="D42" s="35">
        <f t="shared" ref="D42:D43" si="16">5280+5280+5280+5280+5280+5280</f>
        <v>31680</v>
      </c>
      <c r="E42" s="32">
        <f t="shared" si="13"/>
        <v>0</v>
      </c>
      <c r="F42" s="80">
        <v>0.0</v>
      </c>
      <c r="G42" s="80">
        <v>0.0</v>
      </c>
      <c r="H42" s="81">
        <f t="shared" si="14"/>
        <v>0</v>
      </c>
      <c r="I42" s="82"/>
      <c r="J42" s="83"/>
      <c r="K42" s="81"/>
      <c r="L42" s="84"/>
      <c r="M42" s="85"/>
      <c r="N42" s="81"/>
      <c r="O42" s="79" t="s">
        <v>48</v>
      </c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20.25" customHeight="1">
      <c r="A43" s="29">
        <v>7.0</v>
      </c>
      <c r="B43" s="30" t="s">
        <v>23</v>
      </c>
      <c r="C43" s="31">
        <v>31680.0</v>
      </c>
      <c r="D43" s="35">
        <f t="shared" si="16"/>
        <v>31680</v>
      </c>
      <c r="E43" s="32">
        <f t="shared" si="13"/>
        <v>0</v>
      </c>
      <c r="F43" s="80">
        <v>0.0</v>
      </c>
      <c r="G43" s="80">
        <v>0.0</v>
      </c>
      <c r="H43" s="81">
        <f t="shared" si="14"/>
        <v>0</v>
      </c>
      <c r="I43" s="82"/>
      <c r="J43" s="83"/>
      <c r="K43" s="81"/>
      <c r="L43" s="84"/>
      <c r="M43" s="85"/>
      <c r="N43" s="81"/>
      <c r="O43" s="79" t="s">
        <v>49</v>
      </c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20.25" customHeight="1">
      <c r="A44" s="29">
        <v>8.0</v>
      </c>
      <c r="B44" s="30" t="s">
        <v>24</v>
      </c>
      <c r="C44" s="31">
        <v>24480.0</v>
      </c>
      <c r="D44" s="35">
        <f>4080+4080+4080+4080+4080+4080</f>
        <v>24480</v>
      </c>
      <c r="E44" s="32">
        <f t="shared" si="13"/>
        <v>0</v>
      </c>
      <c r="F44" s="80">
        <v>0.0</v>
      </c>
      <c r="G44" s="80">
        <v>0.0</v>
      </c>
      <c r="H44" s="81">
        <f t="shared" si="14"/>
        <v>0</v>
      </c>
      <c r="I44" s="82"/>
      <c r="J44" s="83"/>
      <c r="K44" s="81"/>
      <c r="L44" s="84"/>
      <c r="M44" s="85"/>
      <c r="N44" s="81"/>
      <c r="O44" s="79" t="s">
        <v>50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20.25" customHeight="1">
      <c r="A45" s="29">
        <v>9.0</v>
      </c>
      <c r="B45" s="30" t="s">
        <v>25</v>
      </c>
      <c r="C45" s="31">
        <v>23280.0</v>
      </c>
      <c r="D45" s="35">
        <f>4080+4080+4080+4080+2880+4080</f>
        <v>23280</v>
      </c>
      <c r="E45" s="32">
        <f t="shared" si="13"/>
        <v>0</v>
      </c>
      <c r="F45" s="80">
        <v>0.0</v>
      </c>
      <c r="G45" s="80">
        <v>0.0</v>
      </c>
      <c r="H45" s="81">
        <f t="shared" si="14"/>
        <v>0</v>
      </c>
      <c r="I45" s="82"/>
      <c r="J45" s="83"/>
      <c r="K45" s="81"/>
      <c r="L45" s="84"/>
      <c r="M45" s="85"/>
      <c r="N45" s="81"/>
      <c r="O45" s="79" t="s">
        <v>51</v>
      </c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20.25" customHeight="1">
      <c r="A46" s="29">
        <v>10.0</v>
      </c>
      <c r="B46" s="30" t="s">
        <v>26</v>
      </c>
      <c r="C46" s="31">
        <v>17280.0</v>
      </c>
      <c r="D46" s="35">
        <f>2880+2880+2880+2880+2880+2880</f>
        <v>17280</v>
      </c>
      <c r="E46" s="32">
        <f t="shared" si="13"/>
        <v>0</v>
      </c>
      <c r="F46" s="80">
        <v>0.0</v>
      </c>
      <c r="G46" s="80">
        <v>0.0</v>
      </c>
      <c r="H46" s="81">
        <f t="shared" si="14"/>
        <v>0</v>
      </c>
      <c r="I46" s="82"/>
      <c r="J46" s="83"/>
      <c r="K46" s="81"/>
      <c r="L46" s="84"/>
      <c r="M46" s="85"/>
      <c r="N46" s="81"/>
      <c r="O46" s="79" t="s">
        <v>52</v>
      </c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20.25" customHeight="1">
      <c r="A47" s="29">
        <v>11.0</v>
      </c>
      <c r="B47" s="30" t="s">
        <v>27</v>
      </c>
      <c r="C47" s="31">
        <v>24480.0</v>
      </c>
      <c r="D47" s="35">
        <f t="shared" ref="D47:D48" si="17">4080+4080+4080+4080+4080+4080</f>
        <v>24480</v>
      </c>
      <c r="E47" s="32">
        <f t="shared" si="13"/>
        <v>0</v>
      </c>
      <c r="F47" s="80">
        <v>0.0</v>
      </c>
      <c r="G47" s="80">
        <v>0.0</v>
      </c>
      <c r="H47" s="81">
        <f t="shared" si="14"/>
        <v>0</v>
      </c>
      <c r="I47" s="82"/>
      <c r="J47" s="83"/>
      <c r="K47" s="81"/>
      <c r="L47" s="84"/>
      <c r="M47" s="85"/>
      <c r="N47" s="81"/>
      <c r="O47" s="79" t="s">
        <v>53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20.25" customHeight="1">
      <c r="A48" s="29">
        <v>12.0</v>
      </c>
      <c r="B48" s="30" t="s">
        <v>28</v>
      </c>
      <c r="C48" s="31">
        <v>24480.0</v>
      </c>
      <c r="D48" s="35">
        <f t="shared" si="17"/>
        <v>24480</v>
      </c>
      <c r="E48" s="32">
        <f t="shared" si="13"/>
        <v>0</v>
      </c>
      <c r="F48" s="80">
        <v>0.0</v>
      </c>
      <c r="G48" s="80">
        <v>0.0</v>
      </c>
      <c r="H48" s="81">
        <f t="shared" si="14"/>
        <v>0</v>
      </c>
      <c r="I48" s="82"/>
      <c r="J48" s="83"/>
      <c r="K48" s="81"/>
      <c r="L48" s="84"/>
      <c r="M48" s="85"/>
      <c r="N48" s="81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20.25" customHeight="1">
      <c r="A49" s="29">
        <v>13.0</v>
      </c>
      <c r="B49" s="30" t="s">
        <v>29</v>
      </c>
      <c r="C49" s="31">
        <v>17280.0</v>
      </c>
      <c r="D49" s="35">
        <f t="shared" ref="D49:D52" si="18">2880+2880+2880+2880+2880+2880</f>
        <v>17280</v>
      </c>
      <c r="E49" s="32">
        <f t="shared" si="13"/>
        <v>0</v>
      </c>
      <c r="F49" s="80">
        <v>0.0</v>
      </c>
      <c r="G49" s="80">
        <v>0.0</v>
      </c>
      <c r="H49" s="81">
        <f t="shared" si="14"/>
        <v>0</v>
      </c>
      <c r="I49" s="82"/>
      <c r="J49" s="83"/>
      <c r="K49" s="81"/>
      <c r="L49" s="84"/>
      <c r="M49" s="85"/>
      <c r="N49" s="81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20.25" customHeight="1">
      <c r="A50" s="29">
        <v>14.0</v>
      </c>
      <c r="B50" s="30" t="s">
        <v>30</v>
      </c>
      <c r="C50" s="31">
        <v>17280.0</v>
      </c>
      <c r="D50" s="35">
        <f t="shared" si="18"/>
        <v>17280</v>
      </c>
      <c r="E50" s="32">
        <f t="shared" si="13"/>
        <v>0</v>
      </c>
      <c r="F50" s="80">
        <v>0.0</v>
      </c>
      <c r="G50" s="80">
        <v>0.0</v>
      </c>
      <c r="H50" s="81">
        <f t="shared" si="14"/>
        <v>0</v>
      </c>
      <c r="I50" s="82"/>
      <c r="J50" s="83"/>
      <c r="K50" s="81"/>
      <c r="L50" s="84"/>
      <c r="M50" s="85"/>
      <c r="N50" s="81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20.25" customHeight="1">
      <c r="A51" s="29">
        <v>15.0</v>
      </c>
      <c r="B51" s="30" t="s">
        <v>31</v>
      </c>
      <c r="C51" s="31">
        <v>17280.0</v>
      </c>
      <c r="D51" s="35">
        <f t="shared" si="18"/>
        <v>17280</v>
      </c>
      <c r="E51" s="32">
        <f t="shared" si="13"/>
        <v>0</v>
      </c>
      <c r="F51" s="80">
        <v>0.0</v>
      </c>
      <c r="G51" s="80">
        <v>0.0</v>
      </c>
      <c r="H51" s="81">
        <f t="shared" si="14"/>
        <v>0</v>
      </c>
      <c r="I51" s="82"/>
      <c r="J51" s="83"/>
      <c r="K51" s="81"/>
      <c r="L51" s="84"/>
      <c r="M51" s="85"/>
      <c r="N51" s="81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20.25" customHeight="1">
      <c r="A52" s="29">
        <v>16.0</v>
      </c>
      <c r="B52" s="30" t="s">
        <v>32</v>
      </c>
      <c r="C52" s="31">
        <v>17280.0</v>
      </c>
      <c r="D52" s="35">
        <f t="shared" si="18"/>
        <v>17280</v>
      </c>
      <c r="E52" s="32">
        <f t="shared" si="13"/>
        <v>0</v>
      </c>
      <c r="F52" s="80">
        <v>0.0</v>
      </c>
      <c r="G52" s="80">
        <v>0.0</v>
      </c>
      <c r="H52" s="81">
        <f t="shared" si="14"/>
        <v>0</v>
      </c>
      <c r="I52" s="82"/>
      <c r="J52" s="83"/>
      <c r="K52" s="81"/>
      <c r="L52" s="84"/>
      <c r="M52" s="85"/>
      <c r="N52" s="81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20.25" customHeight="1">
      <c r="A53" s="29">
        <v>17.0</v>
      </c>
      <c r="B53" s="30" t="s">
        <v>33</v>
      </c>
      <c r="C53" s="31">
        <v>18480.0</v>
      </c>
      <c r="D53" s="35">
        <f>4080+2880+2880+2880+2880+2880</f>
        <v>18480</v>
      </c>
      <c r="E53" s="32">
        <f t="shared" si="13"/>
        <v>0</v>
      </c>
      <c r="F53" s="80">
        <v>0.0</v>
      </c>
      <c r="G53" s="80">
        <v>0.0</v>
      </c>
      <c r="H53" s="81">
        <f t="shared" si="14"/>
        <v>0</v>
      </c>
      <c r="I53" s="82"/>
      <c r="J53" s="83"/>
      <c r="K53" s="81"/>
      <c r="L53" s="84"/>
      <c r="M53" s="85"/>
      <c r="N53" s="81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20.25" customHeight="1">
      <c r="A54" s="29">
        <v>18.0</v>
      </c>
      <c r="B54" s="30" t="s">
        <v>34</v>
      </c>
      <c r="C54" s="31">
        <v>24480.0</v>
      </c>
      <c r="D54" s="35">
        <f>4080+4080+4080+4080+4080+4080</f>
        <v>24480</v>
      </c>
      <c r="E54" s="32">
        <f t="shared" si="13"/>
        <v>0</v>
      </c>
      <c r="F54" s="80">
        <v>0.0</v>
      </c>
      <c r="G54" s="80">
        <v>0.0</v>
      </c>
      <c r="H54" s="81">
        <f t="shared" si="14"/>
        <v>0</v>
      </c>
      <c r="I54" s="82"/>
      <c r="J54" s="83"/>
      <c r="K54" s="81"/>
      <c r="L54" s="84"/>
      <c r="M54" s="85"/>
      <c r="N54" s="81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20.25" customHeight="1">
      <c r="A55" s="29">
        <v>19.0</v>
      </c>
      <c r="B55" s="55" t="s">
        <v>35</v>
      </c>
      <c r="C55" s="31">
        <v>17280.0</v>
      </c>
      <c r="D55" s="35">
        <f>2880+2880+2880+2880+2880+2880</f>
        <v>17280</v>
      </c>
      <c r="E55" s="32">
        <f t="shared" si="13"/>
        <v>0</v>
      </c>
      <c r="F55" s="80">
        <v>0.0</v>
      </c>
      <c r="G55" s="80">
        <v>0.0</v>
      </c>
      <c r="H55" s="81">
        <f t="shared" si="14"/>
        <v>0</v>
      </c>
      <c r="I55" s="82"/>
      <c r="J55" s="83"/>
      <c r="K55" s="81"/>
      <c r="L55" s="84"/>
      <c r="M55" s="85"/>
      <c r="N55" s="81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20.25" customHeight="1">
      <c r="A56" s="57" t="s">
        <v>36</v>
      </c>
      <c r="B56" s="21"/>
      <c r="C56" s="58">
        <f t="shared" ref="C56:N56" si="19">SUM(C37:C55)</f>
        <v>479440</v>
      </c>
      <c r="D56" s="58">
        <f t="shared" si="19"/>
        <v>479440</v>
      </c>
      <c r="E56" s="59">
        <f t="shared" si="19"/>
        <v>0</v>
      </c>
      <c r="F56" s="60">
        <f t="shared" si="19"/>
        <v>1900200</v>
      </c>
      <c r="G56" s="60">
        <f t="shared" si="19"/>
        <v>1900200</v>
      </c>
      <c r="H56" s="87">
        <f t="shared" si="19"/>
        <v>0</v>
      </c>
      <c r="I56" s="60">
        <f t="shared" si="19"/>
        <v>69950</v>
      </c>
      <c r="J56" s="60">
        <f t="shared" si="19"/>
        <v>69950</v>
      </c>
      <c r="K56" s="88">
        <f t="shared" si="19"/>
        <v>0</v>
      </c>
      <c r="L56" s="60">
        <f t="shared" si="19"/>
        <v>11700</v>
      </c>
      <c r="M56" s="60">
        <f t="shared" si="19"/>
        <v>11700</v>
      </c>
      <c r="N56" s="59">
        <f t="shared" si="19"/>
        <v>0</v>
      </c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20.25" customHeight="1">
      <c r="A57" s="4"/>
      <c r="B57" s="4"/>
      <c r="C57" s="4"/>
      <c r="D57" s="4"/>
      <c r="E57" s="63"/>
      <c r="F57" s="4"/>
      <c r="G57" s="4"/>
      <c r="H57" s="63"/>
      <c r="I57" s="4"/>
      <c r="J57" s="4"/>
      <c r="K57" s="63"/>
      <c r="L57" s="4"/>
      <c r="M57" s="4"/>
      <c r="N57" s="6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4"/>
      <c r="B58" s="4"/>
      <c r="C58" s="4"/>
      <c r="D58" s="4"/>
      <c r="E58" s="63"/>
      <c r="F58" s="4"/>
      <c r="G58" s="4"/>
      <c r="H58" s="63"/>
      <c r="I58" s="4"/>
      <c r="J58" s="4"/>
      <c r="K58" s="63"/>
      <c r="L58" s="4"/>
      <c r="M58" s="4"/>
      <c r="N58" s="6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1" t="s"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1" t="s">
        <v>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5" t="s">
        <v>4</v>
      </c>
      <c r="B61" s="5" t="s">
        <v>5</v>
      </c>
      <c r="C61" s="89" t="s">
        <v>54</v>
      </c>
      <c r="D61" s="7"/>
      <c r="E61" s="8"/>
      <c r="F61" s="9" t="s">
        <v>55</v>
      </c>
      <c r="G61" s="7"/>
      <c r="H61" s="8"/>
      <c r="I61" s="9" t="s">
        <v>56</v>
      </c>
      <c r="J61" s="7"/>
      <c r="K61" s="8"/>
      <c r="L61" s="66" t="s">
        <v>57</v>
      </c>
      <c r="M61" s="7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12"/>
      <c r="B62" s="12"/>
      <c r="C62" s="14"/>
      <c r="D62" s="15"/>
      <c r="E62" s="16"/>
      <c r="F62" s="14"/>
      <c r="G62" s="15"/>
      <c r="H62" s="16"/>
      <c r="I62" s="14"/>
      <c r="J62" s="15"/>
      <c r="K62" s="16"/>
      <c r="L62" s="14"/>
      <c r="M62" s="15"/>
      <c r="N62" s="1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12"/>
      <c r="B63" s="12"/>
      <c r="C63" s="90" t="s">
        <v>58</v>
      </c>
      <c r="E63" s="13"/>
      <c r="F63" s="18" t="s">
        <v>12</v>
      </c>
      <c r="H63" s="13"/>
      <c r="I63" s="18" t="s">
        <v>12</v>
      </c>
      <c r="K63" s="13"/>
      <c r="L63" s="68" t="s">
        <v>12</v>
      </c>
      <c r="N63" s="1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22"/>
      <c r="B64" s="22"/>
      <c r="C64" s="25" t="s">
        <v>13</v>
      </c>
      <c r="D64" s="25" t="s">
        <v>14</v>
      </c>
      <c r="E64" s="91" t="s">
        <v>15</v>
      </c>
      <c r="F64" s="23" t="s">
        <v>13</v>
      </c>
      <c r="G64" s="23" t="s">
        <v>14</v>
      </c>
      <c r="H64" s="24" t="s">
        <v>15</v>
      </c>
      <c r="I64" s="23" t="s">
        <v>13</v>
      </c>
      <c r="J64" s="23" t="s">
        <v>14</v>
      </c>
      <c r="K64" s="24" t="s">
        <v>15</v>
      </c>
      <c r="L64" s="69" t="s">
        <v>13</v>
      </c>
      <c r="M64" s="69" t="s">
        <v>14</v>
      </c>
      <c r="N64" s="70" t="s">
        <v>15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92"/>
      <c r="B65" s="21"/>
      <c r="C65" s="27"/>
      <c r="D65" s="20"/>
      <c r="E65" s="21"/>
      <c r="F65" s="73"/>
      <c r="G65" s="20"/>
      <c r="H65" s="20"/>
      <c r="I65" s="73"/>
      <c r="J65" s="20"/>
      <c r="K65" s="21"/>
      <c r="L65" s="74"/>
      <c r="M65" s="20"/>
      <c r="N65" s="2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29">
        <v>1.0</v>
      </c>
      <c r="B66" s="30" t="s">
        <v>17</v>
      </c>
      <c r="C66" s="76">
        <v>108000.0</v>
      </c>
      <c r="D66" s="93">
        <f>18000+18000+18000+18000+18000+18000</f>
        <v>108000</v>
      </c>
      <c r="E66" s="94">
        <f>SUM(C66-D66)</f>
        <v>0</v>
      </c>
      <c r="F66" s="95">
        <v>270000.0</v>
      </c>
      <c r="G66" s="80">
        <f>45000+45000+45000+45000+45000+45000</f>
        <v>270000</v>
      </c>
      <c r="H66" s="32">
        <f>SUM(F66-G66)</f>
        <v>0</v>
      </c>
      <c r="I66" s="76">
        <v>168000.0</v>
      </c>
      <c r="J66" s="95">
        <f>28000+28000+28000+28000+28000+28000</f>
        <v>168000</v>
      </c>
      <c r="K66" s="32">
        <f>SUM(I66-J66)</f>
        <v>0</v>
      </c>
      <c r="L66" s="95">
        <v>248000.0</v>
      </c>
      <c r="M66" s="80">
        <f>123000+1500+123500</f>
        <v>248000</v>
      </c>
      <c r="N66" s="32">
        <f>SUM(L66-M66)</f>
        <v>0</v>
      </c>
      <c r="O66" s="79" t="s">
        <v>59</v>
      </c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20.25" customHeight="1">
      <c r="A67" s="29">
        <v>2.0</v>
      </c>
      <c r="B67" s="45" t="s">
        <v>18</v>
      </c>
      <c r="C67" s="96">
        <v>0.0</v>
      </c>
      <c r="D67" s="96">
        <v>0.0</v>
      </c>
      <c r="E67" s="97">
        <v>0.0</v>
      </c>
      <c r="F67" s="96">
        <v>0.0</v>
      </c>
      <c r="G67" s="96">
        <v>0.0</v>
      </c>
      <c r="H67" s="97">
        <v>0.0</v>
      </c>
      <c r="I67" s="96">
        <v>0.0</v>
      </c>
      <c r="J67" s="96">
        <v>0.0</v>
      </c>
      <c r="K67" s="97">
        <v>0.0</v>
      </c>
      <c r="L67" s="96">
        <v>0.0</v>
      </c>
      <c r="M67" s="96">
        <v>0.0</v>
      </c>
      <c r="N67" s="97">
        <v>0.0</v>
      </c>
      <c r="O67" s="79" t="s">
        <v>60</v>
      </c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20.25" customHeight="1">
      <c r="A68" s="29">
        <v>3.0</v>
      </c>
      <c r="B68" s="30" t="s">
        <v>19</v>
      </c>
      <c r="C68" s="96">
        <v>0.0</v>
      </c>
      <c r="D68" s="96">
        <v>0.0</v>
      </c>
      <c r="E68" s="97">
        <v>0.0</v>
      </c>
      <c r="F68" s="96">
        <v>0.0</v>
      </c>
      <c r="G68" s="96">
        <v>0.0</v>
      </c>
      <c r="H68" s="97">
        <v>0.0</v>
      </c>
      <c r="I68" s="96">
        <v>0.0</v>
      </c>
      <c r="J68" s="96">
        <v>0.0</v>
      </c>
      <c r="K68" s="97">
        <v>0.0</v>
      </c>
      <c r="L68" s="96">
        <v>0.0</v>
      </c>
      <c r="M68" s="96">
        <v>0.0</v>
      </c>
      <c r="N68" s="97">
        <v>0.0</v>
      </c>
      <c r="O68" s="44"/>
      <c r="P68" s="44"/>
      <c r="Q68" s="98"/>
      <c r="R68" s="44"/>
      <c r="S68" s="44"/>
      <c r="T68" s="44"/>
      <c r="U68" s="44"/>
      <c r="V68" s="44"/>
      <c r="W68" s="44"/>
      <c r="X68" s="44"/>
      <c r="Y68" s="44"/>
      <c r="Z68" s="44"/>
    </row>
    <row r="69" ht="20.25" customHeight="1">
      <c r="A69" s="29">
        <v>4.0</v>
      </c>
      <c r="B69" s="30" t="s">
        <v>20</v>
      </c>
      <c r="C69" s="96">
        <v>0.0</v>
      </c>
      <c r="D69" s="96">
        <v>0.0</v>
      </c>
      <c r="E69" s="97">
        <v>0.0</v>
      </c>
      <c r="F69" s="96">
        <v>0.0</v>
      </c>
      <c r="G69" s="96">
        <v>0.0</v>
      </c>
      <c r="H69" s="97">
        <v>0.0</v>
      </c>
      <c r="I69" s="96">
        <v>0.0</v>
      </c>
      <c r="J69" s="96">
        <v>0.0</v>
      </c>
      <c r="K69" s="97">
        <v>0.0</v>
      </c>
      <c r="L69" s="96">
        <v>0.0</v>
      </c>
      <c r="M69" s="96">
        <v>0.0</v>
      </c>
      <c r="N69" s="97">
        <v>0.0</v>
      </c>
      <c r="O69" s="44"/>
      <c r="P69" s="44"/>
      <c r="Q69" s="98"/>
      <c r="R69" s="44"/>
      <c r="S69" s="44"/>
      <c r="T69" s="44"/>
      <c r="U69" s="44"/>
      <c r="V69" s="44"/>
      <c r="W69" s="44"/>
      <c r="X69" s="44"/>
      <c r="Y69" s="44"/>
      <c r="Z69" s="44"/>
    </row>
    <row r="70" ht="20.25" customHeight="1">
      <c r="A70" s="29">
        <v>5.0</v>
      </c>
      <c r="B70" s="30" t="s">
        <v>21</v>
      </c>
      <c r="C70" s="96">
        <v>0.0</v>
      </c>
      <c r="D70" s="96">
        <v>0.0</v>
      </c>
      <c r="E70" s="97">
        <v>0.0</v>
      </c>
      <c r="F70" s="96">
        <v>0.0</v>
      </c>
      <c r="G70" s="96">
        <v>0.0</v>
      </c>
      <c r="H70" s="97">
        <v>0.0</v>
      </c>
      <c r="I70" s="96">
        <v>0.0</v>
      </c>
      <c r="J70" s="96">
        <v>0.0</v>
      </c>
      <c r="K70" s="97">
        <v>0.0</v>
      </c>
      <c r="L70" s="96">
        <v>0.0</v>
      </c>
      <c r="M70" s="96">
        <v>0.0</v>
      </c>
      <c r="N70" s="97">
        <v>0.0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20.25" customHeight="1">
      <c r="A71" s="29">
        <v>6.0</v>
      </c>
      <c r="B71" s="30" t="s">
        <v>22</v>
      </c>
      <c r="C71" s="96">
        <v>0.0</v>
      </c>
      <c r="D71" s="96">
        <v>0.0</v>
      </c>
      <c r="E71" s="97">
        <v>0.0</v>
      </c>
      <c r="F71" s="96">
        <v>0.0</v>
      </c>
      <c r="G71" s="96">
        <v>0.0</v>
      </c>
      <c r="H71" s="97">
        <v>0.0</v>
      </c>
      <c r="I71" s="96">
        <v>0.0</v>
      </c>
      <c r="J71" s="96">
        <v>0.0</v>
      </c>
      <c r="K71" s="97">
        <v>0.0</v>
      </c>
      <c r="L71" s="96">
        <v>0.0</v>
      </c>
      <c r="M71" s="96">
        <v>0.0</v>
      </c>
      <c r="N71" s="97">
        <v>0.0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20.25" customHeight="1">
      <c r="A72" s="29">
        <v>7.0</v>
      </c>
      <c r="B72" s="30" t="s">
        <v>23</v>
      </c>
      <c r="C72" s="96">
        <v>0.0</v>
      </c>
      <c r="D72" s="96">
        <v>0.0</v>
      </c>
      <c r="E72" s="97">
        <v>0.0</v>
      </c>
      <c r="F72" s="96">
        <v>0.0</v>
      </c>
      <c r="G72" s="96">
        <v>0.0</v>
      </c>
      <c r="H72" s="97">
        <v>0.0</v>
      </c>
      <c r="I72" s="96">
        <v>0.0</v>
      </c>
      <c r="J72" s="96">
        <v>0.0</v>
      </c>
      <c r="K72" s="97">
        <v>0.0</v>
      </c>
      <c r="L72" s="96">
        <v>0.0</v>
      </c>
      <c r="M72" s="96">
        <v>0.0</v>
      </c>
      <c r="N72" s="97">
        <v>0.0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20.25" customHeight="1">
      <c r="A73" s="29">
        <v>8.0</v>
      </c>
      <c r="B73" s="30" t="s">
        <v>24</v>
      </c>
      <c r="C73" s="96">
        <v>0.0</v>
      </c>
      <c r="D73" s="96">
        <v>0.0</v>
      </c>
      <c r="E73" s="97">
        <v>0.0</v>
      </c>
      <c r="F73" s="96">
        <v>0.0</v>
      </c>
      <c r="G73" s="96">
        <v>0.0</v>
      </c>
      <c r="H73" s="97">
        <v>0.0</v>
      </c>
      <c r="I73" s="96">
        <v>0.0</v>
      </c>
      <c r="J73" s="96">
        <v>0.0</v>
      </c>
      <c r="K73" s="97">
        <v>0.0</v>
      </c>
      <c r="L73" s="96">
        <v>0.0</v>
      </c>
      <c r="M73" s="96">
        <v>0.0</v>
      </c>
      <c r="N73" s="97">
        <v>0.0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20.25" customHeight="1">
      <c r="A74" s="29">
        <v>9.0</v>
      </c>
      <c r="B74" s="30" t="s">
        <v>25</v>
      </c>
      <c r="C74" s="96">
        <v>0.0</v>
      </c>
      <c r="D74" s="96">
        <v>0.0</v>
      </c>
      <c r="E74" s="97">
        <v>0.0</v>
      </c>
      <c r="F74" s="96">
        <v>0.0</v>
      </c>
      <c r="G74" s="96">
        <v>0.0</v>
      </c>
      <c r="H74" s="97">
        <v>0.0</v>
      </c>
      <c r="I74" s="96">
        <v>0.0</v>
      </c>
      <c r="J74" s="96">
        <v>0.0</v>
      </c>
      <c r="K74" s="97">
        <v>0.0</v>
      </c>
      <c r="L74" s="96">
        <v>0.0</v>
      </c>
      <c r="M74" s="96">
        <v>0.0</v>
      </c>
      <c r="N74" s="97">
        <v>0.0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20.25" customHeight="1">
      <c r="A75" s="29">
        <v>10.0</v>
      </c>
      <c r="B75" s="30" t="s">
        <v>26</v>
      </c>
      <c r="C75" s="96">
        <v>0.0</v>
      </c>
      <c r="D75" s="96">
        <v>0.0</v>
      </c>
      <c r="E75" s="97">
        <v>0.0</v>
      </c>
      <c r="F75" s="96">
        <v>0.0</v>
      </c>
      <c r="G75" s="96">
        <v>0.0</v>
      </c>
      <c r="H75" s="97">
        <v>0.0</v>
      </c>
      <c r="I75" s="96">
        <v>0.0</v>
      </c>
      <c r="J75" s="96">
        <v>0.0</v>
      </c>
      <c r="K75" s="97">
        <v>0.0</v>
      </c>
      <c r="L75" s="96">
        <v>0.0</v>
      </c>
      <c r="M75" s="96">
        <v>0.0</v>
      </c>
      <c r="N75" s="97">
        <v>0.0</v>
      </c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20.25" customHeight="1">
      <c r="A76" s="29">
        <v>11.0</v>
      </c>
      <c r="B76" s="30" t="s">
        <v>27</v>
      </c>
      <c r="C76" s="96">
        <v>0.0</v>
      </c>
      <c r="D76" s="96">
        <v>0.0</v>
      </c>
      <c r="E76" s="97">
        <v>0.0</v>
      </c>
      <c r="F76" s="96">
        <v>0.0</v>
      </c>
      <c r="G76" s="96">
        <v>0.0</v>
      </c>
      <c r="H76" s="97">
        <v>0.0</v>
      </c>
      <c r="I76" s="96">
        <v>0.0</v>
      </c>
      <c r="J76" s="96">
        <v>0.0</v>
      </c>
      <c r="K76" s="97">
        <v>0.0</v>
      </c>
      <c r="L76" s="96">
        <v>0.0</v>
      </c>
      <c r="M76" s="96">
        <v>0.0</v>
      </c>
      <c r="N76" s="97">
        <v>0.0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20.25" customHeight="1">
      <c r="A77" s="29">
        <v>12.0</v>
      </c>
      <c r="B77" s="30" t="s">
        <v>28</v>
      </c>
      <c r="C77" s="96">
        <v>0.0</v>
      </c>
      <c r="D77" s="96">
        <v>0.0</v>
      </c>
      <c r="E77" s="97">
        <v>0.0</v>
      </c>
      <c r="F77" s="96">
        <v>0.0</v>
      </c>
      <c r="G77" s="96">
        <v>0.0</v>
      </c>
      <c r="H77" s="97">
        <v>0.0</v>
      </c>
      <c r="I77" s="96">
        <v>0.0</v>
      </c>
      <c r="J77" s="96">
        <v>0.0</v>
      </c>
      <c r="K77" s="97">
        <v>0.0</v>
      </c>
      <c r="L77" s="96">
        <v>0.0</v>
      </c>
      <c r="M77" s="96">
        <v>0.0</v>
      </c>
      <c r="N77" s="97">
        <v>0.0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20.25" customHeight="1">
      <c r="A78" s="29">
        <v>13.0</v>
      </c>
      <c r="B78" s="30" t="s">
        <v>29</v>
      </c>
      <c r="C78" s="96">
        <v>0.0</v>
      </c>
      <c r="D78" s="96">
        <v>0.0</v>
      </c>
      <c r="E78" s="97">
        <v>0.0</v>
      </c>
      <c r="F78" s="96">
        <v>0.0</v>
      </c>
      <c r="G78" s="96">
        <v>0.0</v>
      </c>
      <c r="H78" s="97">
        <v>0.0</v>
      </c>
      <c r="I78" s="96">
        <v>0.0</v>
      </c>
      <c r="J78" s="96">
        <v>0.0</v>
      </c>
      <c r="K78" s="97">
        <v>0.0</v>
      </c>
      <c r="L78" s="96">
        <v>0.0</v>
      </c>
      <c r="M78" s="96">
        <v>0.0</v>
      </c>
      <c r="N78" s="97">
        <v>0.0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20.25" customHeight="1">
      <c r="A79" s="29">
        <v>14.0</v>
      </c>
      <c r="B79" s="30" t="s">
        <v>30</v>
      </c>
      <c r="C79" s="96">
        <v>0.0</v>
      </c>
      <c r="D79" s="96">
        <v>0.0</v>
      </c>
      <c r="E79" s="97">
        <v>0.0</v>
      </c>
      <c r="F79" s="96">
        <v>0.0</v>
      </c>
      <c r="G79" s="96">
        <v>0.0</v>
      </c>
      <c r="H79" s="97">
        <v>0.0</v>
      </c>
      <c r="I79" s="96">
        <v>0.0</v>
      </c>
      <c r="J79" s="96">
        <v>0.0</v>
      </c>
      <c r="K79" s="97">
        <v>0.0</v>
      </c>
      <c r="L79" s="96">
        <v>0.0</v>
      </c>
      <c r="M79" s="96">
        <v>0.0</v>
      </c>
      <c r="N79" s="97">
        <v>0.0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20.25" customHeight="1">
      <c r="A80" s="29">
        <v>15.0</v>
      </c>
      <c r="B80" s="30" t="s">
        <v>31</v>
      </c>
      <c r="C80" s="96">
        <v>0.0</v>
      </c>
      <c r="D80" s="96">
        <v>0.0</v>
      </c>
      <c r="E80" s="97">
        <v>0.0</v>
      </c>
      <c r="F80" s="96">
        <v>0.0</v>
      </c>
      <c r="G80" s="96">
        <v>0.0</v>
      </c>
      <c r="H80" s="97">
        <v>0.0</v>
      </c>
      <c r="I80" s="96">
        <v>0.0</v>
      </c>
      <c r="J80" s="96">
        <v>0.0</v>
      </c>
      <c r="K80" s="97">
        <v>0.0</v>
      </c>
      <c r="L80" s="96">
        <v>0.0</v>
      </c>
      <c r="M80" s="96">
        <v>0.0</v>
      </c>
      <c r="N80" s="97">
        <v>0.0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20.25" customHeight="1">
      <c r="A81" s="29">
        <v>16.0</v>
      </c>
      <c r="B81" s="30" t="s">
        <v>32</v>
      </c>
      <c r="C81" s="96">
        <v>0.0</v>
      </c>
      <c r="D81" s="96">
        <v>0.0</v>
      </c>
      <c r="E81" s="97">
        <v>0.0</v>
      </c>
      <c r="F81" s="96">
        <v>0.0</v>
      </c>
      <c r="G81" s="96">
        <v>0.0</v>
      </c>
      <c r="H81" s="97">
        <v>0.0</v>
      </c>
      <c r="I81" s="96">
        <v>0.0</v>
      </c>
      <c r="J81" s="96">
        <v>0.0</v>
      </c>
      <c r="K81" s="97">
        <v>0.0</v>
      </c>
      <c r="L81" s="96">
        <v>0.0</v>
      </c>
      <c r="M81" s="96">
        <v>0.0</v>
      </c>
      <c r="N81" s="97">
        <v>0.0</v>
      </c>
      <c r="O81" s="44"/>
      <c r="P81" s="44"/>
      <c r="Q81" s="98"/>
      <c r="R81" s="44"/>
      <c r="S81" s="44"/>
      <c r="T81" s="44"/>
      <c r="U81" s="44"/>
      <c r="V81" s="44"/>
      <c r="W81" s="44"/>
      <c r="X81" s="44"/>
      <c r="Y81" s="44"/>
      <c r="Z81" s="44"/>
    </row>
    <row r="82" ht="20.25" customHeight="1">
      <c r="A82" s="29">
        <v>17.0</v>
      </c>
      <c r="B82" s="30" t="s">
        <v>33</v>
      </c>
      <c r="C82" s="96">
        <v>0.0</v>
      </c>
      <c r="D82" s="96">
        <v>0.0</v>
      </c>
      <c r="E82" s="97">
        <v>0.0</v>
      </c>
      <c r="F82" s="96">
        <v>0.0</v>
      </c>
      <c r="G82" s="96">
        <v>0.0</v>
      </c>
      <c r="H82" s="97">
        <v>0.0</v>
      </c>
      <c r="I82" s="96">
        <v>0.0</v>
      </c>
      <c r="J82" s="96">
        <v>0.0</v>
      </c>
      <c r="K82" s="97">
        <v>0.0</v>
      </c>
      <c r="L82" s="96">
        <v>0.0</v>
      </c>
      <c r="M82" s="96">
        <v>0.0</v>
      </c>
      <c r="N82" s="97">
        <v>0.0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20.25" customHeight="1">
      <c r="A83" s="29">
        <v>18.0</v>
      </c>
      <c r="B83" s="30" t="s">
        <v>34</v>
      </c>
      <c r="C83" s="96">
        <v>0.0</v>
      </c>
      <c r="D83" s="96">
        <v>0.0</v>
      </c>
      <c r="E83" s="97">
        <v>0.0</v>
      </c>
      <c r="F83" s="96">
        <v>0.0</v>
      </c>
      <c r="G83" s="96">
        <v>0.0</v>
      </c>
      <c r="H83" s="97">
        <v>0.0</v>
      </c>
      <c r="I83" s="96">
        <v>0.0</v>
      </c>
      <c r="J83" s="96">
        <v>0.0</v>
      </c>
      <c r="K83" s="97">
        <v>0.0</v>
      </c>
      <c r="L83" s="96">
        <v>0.0</v>
      </c>
      <c r="M83" s="96">
        <v>0.0</v>
      </c>
      <c r="N83" s="97">
        <v>0.0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20.25" customHeight="1">
      <c r="A84" s="29">
        <v>19.0</v>
      </c>
      <c r="B84" s="55" t="s">
        <v>35</v>
      </c>
      <c r="C84" s="96">
        <v>0.0</v>
      </c>
      <c r="D84" s="96">
        <v>0.0</v>
      </c>
      <c r="E84" s="97">
        <v>0.0</v>
      </c>
      <c r="F84" s="96">
        <v>0.0</v>
      </c>
      <c r="G84" s="96">
        <v>0.0</v>
      </c>
      <c r="H84" s="97">
        <v>0.0</v>
      </c>
      <c r="I84" s="96">
        <v>0.0</v>
      </c>
      <c r="J84" s="96">
        <v>0.0</v>
      </c>
      <c r="K84" s="97">
        <v>0.0</v>
      </c>
      <c r="L84" s="96">
        <v>0.0</v>
      </c>
      <c r="M84" s="96">
        <v>0.0</v>
      </c>
      <c r="N84" s="97">
        <v>0.0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20.25" customHeight="1">
      <c r="A85" s="57" t="s">
        <v>36</v>
      </c>
      <c r="B85" s="21"/>
      <c r="C85" s="58">
        <f t="shared" ref="C85:N85" si="20">SUM(C66:C84)</f>
        <v>108000</v>
      </c>
      <c r="D85" s="58">
        <f t="shared" si="20"/>
        <v>108000</v>
      </c>
      <c r="E85" s="88">
        <f t="shared" si="20"/>
        <v>0</v>
      </c>
      <c r="F85" s="58">
        <f t="shared" si="20"/>
        <v>270000</v>
      </c>
      <c r="G85" s="58">
        <f t="shared" si="20"/>
        <v>270000</v>
      </c>
      <c r="H85" s="59">
        <f t="shared" si="20"/>
        <v>0</v>
      </c>
      <c r="I85" s="58">
        <f t="shared" si="20"/>
        <v>168000</v>
      </c>
      <c r="J85" s="58">
        <f t="shared" si="20"/>
        <v>168000</v>
      </c>
      <c r="K85" s="59">
        <f t="shared" si="20"/>
        <v>0</v>
      </c>
      <c r="L85" s="58">
        <f t="shared" si="20"/>
        <v>248000</v>
      </c>
      <c r="M85" s="58">
        <f t="shared" si="20"/>
        <v>248000</v>
      </c>
      <c r="N85" s="59">
        <f t="shared" si="20"/>
        <v>0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20.25" customHeight="1">
      <c r="A86" s="4"/>
      <c r="B86" s="4"/>
      <c r="C86" s="4"/>
      <c r="D86" s="4"/>
      <c r="E86" s="63"/>
      <c r="F86" s="4"/>
      <c r="G86" s="4"/>
      <c r="H86" s="63"/>
      <c r="I86" s="4"/>
      <c r="J86" s="4"/>
      <c r="K86" s="63"/>
      <c r="L86" s="4"/>
      <c r="M86" s="4"/>
      <c r="N86" s="6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4"/>
      <c r="B87" s="4"/>
      <c r="C87" s="4"/>
      <c r="D87" s="4"/>
      <c r="E87" s="63"/>
      <c r="F87" s="4"/>
      <c r="G87" s="4"/>
      <c r="H87" s="63"/>
      <c r="I87" s="4"/>
      <c r="J87" s="4"/>
      <c r="K87" s="63"/>
      <c r="L87" s="4"/>
      <c r="M87" s="4"/>
      <c r="N87" s="6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1" t="s">
        <v>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1" t="s">
        <v>2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customHeight="1">
      <c r="A90" s="10" t="s">
        <v>4</v>
      </c>
      <c r="B90" s="10" t="s">
        <v>5</v>
      </c>
      <c r="C90" s="99" t="s">
        <v>61</v>
      </c>
      <c r="D90" s="7"/>
      <c r="E90" s="8"/>
      <c r="F90" s="100" t="s">
        <v>62</v>
      </c>
      <c r="G90" s="7"/>
      <c r="H90" s="8"/>
      <c r="I90" s="99"/>
      <c r="J90" s="7"/>
      <c r="K90" s="8"/>
      <c r="L90" s="101"/>
      <c r="M90" s="7"/>
      <c r="N90" s="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customHeight="1">
      <c r="A91" s="12"/>
      <c r="B91" s="12"/>
      <c r="E91" s="13"/>
      <c r="F91" s="14"/>
      <c r="G91" s="15"/>
      <c r="H91" s="16"/>
      <c r="K91" s="13"/>
      <c r="L91" s="14"/>
      <c r="M91" s="15"/>
      <c r="N91" s="1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0.25" customHeight="1">
      <c r="A92" s="12"/>
      <c r="B92" s="12"/>
      <c r="C92" s="67" t="s">
        <v>12</v>
      </c>
      <c r="D92" s="7"/>
      <c r="E92" s="8"/>
      <c r="F92" s="67" t="s">
        <v>12</v>
      </c>
      <c r="G92" s="7"/>
      <c r="H92" s="8"/>
      <c r="I92" s="67" t="s">
        <v>12</v>
      </c>
      <c r="J92" s="7"/>
      <c r="K92" s="8"/>
      <c r="L92" s="90" t="s">
        <v>58</v>
      </c>
      <c r="N92" s="13"/>
      <c r="O92" s="7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0.25" customHeight="1">
      <c r="A93" s="22"/>
      <c r="B93" s="22"/>
      <c r="C93" s="69" t="s">
        <v>13</v>
      </c>
      <c r="D93" s="69" t="s">
        <v>14</v>
      </c>
      <c r="E93" s="70" t="s">
        <v>15</v>
      </c>
      <c r="F93" s="69" t="s">
        <v>13</v>
      </c>
      <c r="G93" s="69" t="s">
        <v>14</v>
      </c>
      <c r="H93" s="70" t="s">
        <v>15</v>
      </c>
      <c r="I93" s="69" t="s">
        <v>13</v>
      </c>
      <c r="J93" s="69" t="s">
        <v>14</v>
      </c>
      <c r="K93" s="70" t="s">
        <v>15</v>
      </c>
      <c r="L93" s="25" t="s">
        <v>13</v>
      </c>
      <c r="M93" s="25" t="s">
        <v>14</v>
      </c>
      <c r="N93" s="91" t="s">
        <v>15</v>
      </c>
      <c r="O93" s="102" t="s">
        <v>63</v>
      </c>
      <c r="P93" s="4"/>
      <c r="Q93" s="4"/>
      <c r="R93" s="79" t="s">
        <v>64</v>
      </c>
      <c r="S93" s="4"/>
      <c r="T93" s="4"/>
      <c r="U93" s="4"/>
      <c r="V93" s="4"/>
      <c r="W93" s="4"/>
      <c r="X93" s="4"/>
      <c r="Y93" s="4"/>
      <c r="Z93" s="4"/>
    </row>
    <row r="94" ht="20.25" customHeight="1">
      <c r="A94" s="19"/>
      <c r="B94" s="21"/>
      <c r="C94" s="72"/>
      <c r="D94" s="20"/>
      <c r="E94" s="21"/>
      <c r="F94" s="72"/>
      <c r="G94" s="20"/>
      <c r="H94" s="21"/>
      <c r="I94" s="72"/>
      <c r="J94" s="20"/>
      <c r="K94" s="21"/>
      <c r="L94" s="28"/>
      <c r="M94" s="20"/>
      <c r="N94" s="21"/>
      <c r="O94" s="103" t="s">
        <v>65</v>
      </c>
      <c r="P94" s="4"/>
      <c r="Q94" s="4"/>
      <c r="R94" s="79" t="s">
        <v>66</v>
      </c>
      <c r="S94" s="4"/>
      <c r="T94" s="4"/>
      <c r="U94" s="4"/>
      <c r="V94" s="4"/>
      <c r="W94" s="4"/>
      <c r="X94" s="4"/>
      <c r="Y94" s="4"/>
      <c r="Z94" s="4"/>
    </row>
    <row r="95" ht="20.25" customHeight="1">
      <c r="A95" s="29">
        <v>1.0</v>
      </c>
      <c r="B95" s="30" t="s">
        <v>17</v>
      </c>
      <c r="C95" s="31">
        <f>188230+36080</f>
        <v>224310</v>
      </c>
      <c r="D95" s="104">
        <f>30590+800+800+800+800+10000+7510+5145+10530+800+13040+7072.76+2070.45+800+4000+800+2174.31+3040+7275+800+1225+11755+6050+4000+8600+1410+800+800+800</f>
        <v>144287.52</v>
      </c>
      <c r="E95" s="105">
        <f>SUM(C95-D95)</f>
        <v>80022.48</v>
      </c>
      <c r="F95" s="76">
        <v>118910.0</v>
      </c>
      <c r="G95" s="106">
        <f>1359+4125.92+14858.14+69336+2016.95+27213.99</f>
        <v>118910</v>
      </c>
      <c r="H95" s="37">
        <f>SUM(F95-G95)</f>
        <v>0</v>
      </c>
      <c r="I95" s="31">
        <v>0.0</v>
      </c>
      <c r="J95" s="75">
        <v>0.0</v>
      </c>
      <c r="K95" s="81">
        <f>SUM(I95-J95)</f>
        <v>0</v>
      </c>
      <c r="L95" s="107"/>
      <c r="M95" s="108"/>
      <c r="N95" s="109"/>
      <c r="O95" s="103" t="s">
        <v>67</v>
      </c>
      <c r="P95" s="44"/>
      <c r="Q95" s="110"/>
      <c r="R95" s="79" t="s">
        <v>68</v>
      </c>
      <c r="S95" s="44"/>
      <c r="T95" s="44"/>
      <c r="U95" s="44"/>
      <c r="V95" s="44"/>
      <c r="W95" s="44"/>
      <c r="X95" s="44"/>
      <c r="Y95" s="44"/>
      <c r="Z95" s="44"/>
    </row>
    <row r="96" ht="20.25" customHeight="1">
      <c r="A96" s="29">
        <v>2.0</v>
      </c>
      <c r="B96" s="45" t="s">
        <v>18</v>
      </c>
      <c r="C96" s="111"/>
      <c r="D96" s="111"/>
      <c r="E96" s="111"/>
      <c r="F96" s="112">
        <v>0.0</v>
      </c>
      <c r="G96" s="111"/>
      <c r="H96" s="111"/>
      <c r="I96" s="111"/>
      <c r="J96" s="111"/>
      <c r="K96" s="111"/>
      <c r="L96" s="111"/>
      <c r="M96" s="111"/>
      <c r="N96" s="111"/>
      <c r="O96" s="103" t="s">
        <v>69</v>
      </c>
      <c r="P96" s="44"/>
      <c r="Q96" s="44"/>
      <c r="R96" s="79" t="s">
        <v>70</v>
      </c>
      <c r="S96" s="44"/>
      <c r="T96" s="44"/>
      <c r="U96" s="44"/>
      <c r="V96" s="44"/>
      <c r="W96" s="44"/>
      <c r="X96" s="44"/>
      <c r="Y96" s="44"/>
      <c r="Z96" s="44"/>
    </row>
    <row r="97" ht="20.25" customHeight="1">
      <c r="A97" s="29">
        <v>3.0</v>
      </c>
      <c r="B97" s="30" t="s">
        <v>19</v>
      </c>
      <c r="C97" s="111">
        <v>0.0</v>
      </c>
      <c r="D97" s="111">
        <v>0.0</v>
      </c>
      <c r="E97" s="111">
        <v>0.0</v>
      </c>
      <c r="F97" s="111">
        <v>0.0</v>
      </c>
      <c r="G97" s="111">
        <v>0.0</v>
      </c>
      <c r="H97" s="111">
        <v>0.0</v>
      </c>
      <c r="I97" s="111">
        <v>0.0</v>
      </c>
      <c r="J97" s="111">
        <v>0.0</v>
      </c>
      <c r="K97" s="111">
        <v>0.0</v>
      </c>
      <c r="L97" s="111">
        <v>0.0</v>
      </c>
      <c r="M97" s="111">
        <v>0.0</v>
      </c>
      <c r="N97" s="111">
        <v>0.0</v>
      </c>
      <c r="O97" s="79" t="s">
        <v>71</v>
      </c>
      <c r="P97" s="44"/>
      <c r="Q97" s="44"/>
      <c r="R97" s="79" t="s">
        <v>72</v>
      </c>
      <c r="S97" s="44"/>
      <c r="T97" s="44"/>
      <c r="U97" s="44"/>
      <c r="V97" s="44"/>
      <c r="W97" s="44"/>
      <c r="X97" s="44"/>
      <c r="Y97" s="44"/>
      <c r="Z97" s="44"/>
    </row>
    <row r="98" ht="20.25" customHeight="1">
      <c r="A98" s="29">
        <v>4.0</v>
      </c>
      <c r="B98" s="30" t="s">
        <v>20</v>
      </c>
      <c r="C98" s="96">
        <v>0.0</v>
      </c>
      <c r="D98" s="96">
        <v>0.0</v>
      </c>
      <c r="E98" s="97">
        <v>0.0</v>
      </c>
      <c r="F98" s="96">
        <v>0.0</v>
      </c>
      <c r="G98" s="96">
        <v>0.0</v>
      </c>
      <c r="H98" s="97">
        <v>0.0</v>
      </c>
      <c r="I98" s="96">
        <v>0.0</v>
      </c>
      <c r="J98" s="96">
        <v>0.0</v>
      </c>
      <c r="K98" s="97">
        <v>0.0</v>
      </c>
      <c r="L98" s="96">
        <v>0.0</v>
      </c>
      <c r="M98" s="96">
        <v>0.0</v>
      </c>
      <c r="N98" s="97">
        <v>0.0</v>
      </c>
      <c r="O98" s="79" t="s">
        <v>73</v>
      </c>
      <c r="P98" s="44"/>
      <c r="Q98" s="44"/>
      <c r="R98" s="79" t="s">
        <v>74</v>
      </c>
      <c r="S98" s="44"/>
      <c r="T98" s="44"/>
      <c r="U98" s="44"/>
      <c r="V98" s="44"/>
      <c r="W98" s="44"/>
      <c r="X98" s="44"/>
      <c r="Y98" s="44"/>
      <c r="Z98" s="44"/>
    </row>
    <row r="99" ht="20.25" customHeight="1">
      <c r="A99" s="29">
        <v>5.0</v>
      </c>
      <c r="B99" s="30" t="s">
        <v>21</v>
      </c>
      <c r="C99" s="96">
        <v>0.0</v>
      </c>
      <c r="D99" s="96">
        <v>0.0</v>
      </c>
      <c r="E99" s="97">
        <v>0.0</v>
      </c>
      <c r="F99" s="96">
        <v>0.0</v>
      </c>
      <c r="G99" s="96">
        <v>0.0</v>
      </c>
      <c r="H99" s="97">
        <v>0.0</v>
      </c>
      <c r="I99" s="96">
        <v>0.0</v>
      </c>
      <c r="J99" s="96">
        <v>0.0</v>
      </c>
      <c r="K99" s="97">
        <v>0.0</v>
      </c>
      <c r="L99" s="96">
        <v>0.0</v>
      </c>
      <c r="M99" s="96">
        <v>0.0</v>
      </c>
      <c r="N99" s="97">
        <v>0.0</v>
      </c>
      <c r="O99" s="79" t="s">
        <v>75</v>
      </c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20.25" customHeight="1">
      <c r="A100" s="29">
        <v>6.0</v>
      </c>
      <c r="B100" s="30" t="s">
        <v>22</v>
      </c>
      <c r="C100" s="96">
        <v>0.0</v>
      </c>
      <c r="D100" s="96">
        <v>0.0</v>
      </c>
      <c r="E100" s="97">
        <v>0.0</v>
      </c>
      <c r="F100" s="96">
        <v>0.0</v>
      </c>
      <c r="G100" s="96">
        <v>0.0</v>
      </c>
      <c r="H100" s="97">
        <v>0.0</v>
      </c>
      <c r="I100" s="96">
        <v>0.0</v>
      </c>
      <c r="J100" s="96">
        <v>0.0</v>
      </c>
      <c r="K100" s="97">
        <v>0.0</v>
      </c>
      <c r="L100" s="96">
        <v>0.0</v>
      </c>
      <c r="M100" s="96">
        <v>0.0</v>
      </c>
      <c r="N100" s="97">
        <v>0.0</v>
      </c>
      <c r="O100" s="79" t="s">
        <v>76</v>
      </c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20.25" customHeight="1">
      <c r="A101" s="29">
        <v>7.0</v>
      </c>
      <c r="B101" s="30" t="s">
        <v>23</v>
      </c>
      <c r="C101" s="96">
        <v>0.0</v>
      </c>
      <c r="D101" s="96">
        <v>0.0</v>
      </c>
      <c r="E101" s="97">
        <v>0.0</v>
      </c>
      <c r="F101" s="96">
        <v>0.0</v>
      </c>
      <c r="G101" s="96">
        <v>0.0</v>
      </c>
      <c r="H101" s="97">
        <v>0.0</v>
      </c>
      <c r="I101" s="96">
        <v>0.0</v>
      </c>
      <c r="J101" s="96">
        <v>0.0</v>
      </c>
      <c r="K101" s="97">
        <v>0.0</v>
      </c>
      <c r="L101" s="96">
        <v>0.0</v>
      </c>
      <c r="M101" s="96">
        <v>0.0</v>
      </c>
      <c r="N101" s="97">
        <v>0.0</v>
      </c>
      <c r="O101" s="79" t="s">
        <v>77</v>
      </c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20.25" customHeight="1">
      <c r="A102" s="29">
        <v>8.0</v>
      </c>
      <c r="B102" s="30" t="s">
        <v>24</v>
      </c>
      <c r="C102" s="96">
        <v>0.0</v>
      </c>
      <c r="D102" s="96">
        <v>0.0</v>
      </c>
      <c r="E102" s="97">
        <v>0.0</v>
      </c>
      <c r="F102" s="96">
        <v>0.0</v>
      </c>
      <c r="G102" s="96">
        <v>0.0</v>
      </c>
      <c r="H102" s="97">
        <v>0.0</v>
      </c>
      <c r="I102" s="96">
        <v>0.0</v>
      </c>
      <c r="J102" s="96">
        <v>0.0</v>
      </c>
      <c r="K102" s="97">
        <v>0.0</v>
      </c>
      <c r="L102" s="96">
        <v>0.0</v>
      </c>
      <c r="M102" s="96">
        <v>0.0</v>
      </c>
      <c r="N102" s="97">
        <v>0.0</v>
      </c>
      <c r="O102" s="79" t="s">
        <v>78</v>
      </c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20.25" customHeight="1">
      <c r="A103" s="29">
        <v>9.0</v>
      </c>
      <c r="B103" s="30" t="s">
        <v>25</v>
      </c>
      <c r="C103" s="96">
        <v>0.0</v>
      </c>
      <c r="D103" s="96">
        <v>0.0</v>
      </c>
      <c r="E103" s="97">
        <v>0.0</v>
      </c>
      <c r="F103" s="96">
        <v>0.0</v>
      </c>
      <c r="G103" s="96">
        <v>0.0</v>
      </c>
      <c r="H103" s="97">
        <v>0.0</v>
      </c>
      <c r="I103" s="96">
        <v>0.0</v>
      </c>
      <c r="J103" s="96">
        <v>0.0</v>
      </c>
      <c r="K103" s="97">
        <v>0.0</v>
      </c>
      <c r="L103" s="96">
        <v>0.0</v>
      </c>
      <c r="M103" s="96">
        <v>0.0</v>
      </c>
      <c r="N103" s="97">
        <v>0.0</v>
      </c>
      <c r="O103" s="79" t="s">
        <v>79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20.25" customHeight="1">
      <c r="A104" s="29">
        <v>10.0</v>
      </c>
      <c r="B104" s="30" t="s">
        <v>26</v>
      </c>
      <c r="C104" s="96">
        <v>0.0</v>
      </c>
      <c r="D104" s="96">
        <v>0.0</v>
      </c>
      <c r="E104" s="97">
        <v>0.0</v>
      </c>
      <c r="F104" s="96">
        <v>0.0</v>
      </c>
      <c r="G104" s="96">
        <v>0.0</v>
      </c>
      <c r="H104" s="97">
        <v>0.0</v>
      </c>
      <c r="I104" s="96">
        <v>0.0</v>
      </c>
      <c r="J104" s="96">
        <v>0.0</v>
      </c>
      <c r="K104" s="97">
        <v>0.0</v>
      </c>
      <c r="L104" s="96">
        <v>0.0</v>
      </c>
      <c r="M104" s="96">
        <v>0.0</v>
      </c>
      <c r="N104" s="97">
        <v>0.0</v>
      </c>
      <c r="O104" s="79" t="s">
        <v>80</v>
      </c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20.25" customHeight="1">
      <c r="A105" s="29">
        <v>11.0</v>
      </c>
      <c r="B105" s="30" t="s">
        <v>27</v>
      </c>
      <c r="C105" s="96">
        <v>0.0</v>
      </c>
      <c r="D105" s="96">
        <v>0.0</v>
      </c>
      <c r="E105" s="97">
        <v>0.0</v>
      </c>
      <c r="F105" s="96">
        <v>0.0</v>
      </c>
      <c r="G105" s="96">
        <v>0.0</v>
      </c>
      <c r="H105" s="97">
        <v>0.0</v>
      </c>
      <c r="I105" s="96">
        <v>0.0</v>
      </c>
      <c r="J105" s="96">
        <v>0.0</v>
      </c>
      <c r="K105" s="97">
        <v>0.0</v>
      </c>
      <c r="L105" s="96">
        <v>0.0</v>
      </c>
      <c r="M105" s="96">
        <v>0.0</v>
      </c>
      <c r="N105" s="97">
        <v>0.0</v>
      </c>
      <c r="O105" s="79" t="s">
        <v>81</v>
      </c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20.25" customHeight="1">
      <c r="A106" s="29">
        <v>12.0</v>
      </c>
      <c r="B106" s="30" t="s">
        <v>28</v>
      </c>
      <c r="C106" s="96">
        <v>0.0</v>
      </c>
      <c r="D106" s="96">
        <v>0.0</v>
      </c>
      <c r="E106" s="97">
        <v>0.0</v>
      </c>
      <c r="F106" s="96">
        <v>0.0</v>
      </c>
      <c r="G106" s="96">
        <v>0.0</v>
      </c>
      <c r="H106" s="97">
        <v>0.0</v>
      </c>
      <c r="I106" s="96">
        <v>0.0</v>
      </c>
      <c r="J106" s="96">
        <v>0.0</v>
      </c>
      <c r="K106" s="97">
        <v>0.0</v>
      </c>
      <c r="L106" s="96">
        <v>0.0</v>
      </c>
      <c r="M106" s="96">
        <v>0.0</v>
      </c>
      <c r="N106" s="97">
        <v>0.0</v>
      </c>
      <c r="O106" s="79" t="s">
        <v>82</v>
      </c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20.25" customHeight="1">
      <c r="A107" s="29">
        <v>13.0</v>
      </c>
      <c r="B107" s="30" t="s">
        <v>29</v>
      </c>
      <c r="C107" s="96">
        <v>0.0</v>
      </c>
      <c r="D107" s="96">
        <v>0.0</v>
      </c>
      <c r="E107" s="97">
        <v>0.0</v>
      </c>
      <c r="F107" s="96">
        <v>0.0</v>
      </c>
      <c r="G107" s="96">
        <v>0.0</v>
      </c>
      <c r="H107" s="97">
        <v>0.0</v>
      </c>
      <c r="I107" s="96">
        <v>0.0</v>
      </c>
      <c r="J107" s="96">
        <v>0.0</v>
      </c>
      <c r="K107" s="97">
        <v>0.0</v>
      </c>
      <c r="L107" s="96">
        <v>0.0</v>
      </c>
      <c r="M107" s="96">
        <v>0.0</v>
      </c>
      <c r="N107" s="97">
        <v>0.0</v>
      </c>
      <c r="O107" s="79" t="s">
        <v>83</v>
      </c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20.25" customHeight="1">
      <c r="A108" s="29">
        <v>14.0</v>
      </c>
      <c r="B108" s="30" t="s">
        <v>30</v>
      </c>
      <c r="C108" s="96">
        <v>0.0</v>
      </c>
      <c r="D108" s="96">
        <v>0.0</v>
      </c>
      <c r="E108" s="97">
        <v>0.0</v>
      </c>
      <c r="F108" s="96">
        <v>0.0</v>
      </c>
      <c r="G108" s="96">
        <v>0.0</v>
      </c>
      <c r="H108" s="97">
        <v>0.0</v>
      </c>
      <c r="I108" s="96">
        <v>0.0</v>
      </c>
      <c r="J108" s="96">
        <v>0.0</v>
      </c>
      <c r="K108" s="97">
        <v>0.0</v>
      </c>
      <c r="L108" s="96">
        <v>0.0</v>
      </c>
      <c r="M108" s="96">
        <v>0.0</v>
      </c>
      <c r="N108" s="97">
        <v>0.0</v>
      </c>
      <c r="O108" s="79" t="s">
        <v>84</v>
      </c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20.25" customHeight="1">
      <c r="A109" s="29">
        <v>15.0</v>
      </c>
      <c r="B109" s="30" t="s">
        <v>31</v>
      </c>
      <c r="C109" s="96">
        <v>0.0</v>
      </c>
      <c r="D109" s="96">
        <v>0.0</v>
      </c>
      <c r="E109" s="97">
        <v>0.0</v>
      </c>
      <c r="F109" s="96">
        <v>0.0</v>
      </c>
      <c r="G109" s="96">
        <v>0.0</v>
      </c>
      <c r="H109" s="97">
        <v>0.0</v>
      </c>
      <c r="I109" s="96">
        <v>0.0</v>
      </c>
      <c r="J109" s="96">
        <v>0.0</v>
      </c>
      <c r="K109" s="97">
        <v>0.0</v>
      </c>
      <c r="L109" s="96">
        <v>0.0</v>
      </c>
      <c r="M109" s="96">
        <v>0.0</v>
      </c>
      <c r="N109" s="97">
        <v>0.0</v>
      </c>
      <c r="O109" s="79" t="s">
        <v>85</v>
      </c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20.25" customHeight="1">
      <c r="A110" s="29">
        <v>16.0</v>
      </c>
      <c r="B110" s="30" t="s">
        <v>32</v>
      </c>
      <c r="C110" s="96">
        <v>0.0</v>
      </c>
      <c r="D110" s="96">
        <v>0.0</v>
      </c>
      <c r="E110" s="97">
        <v>0.0</v>
      </c>
      <c r="F110" s="96">
        <v>0.0</v>
      </c>
      <c r="G110" s="96">
        <v>0.0</v>
      </c>
      <c r="H110" s="97">
        <v>0.0</v>
      </c>
      <c r="I110" s="96">
        <v>0.0</v>
      </c>
      <c r="J110" s="96">
        <v>0.0</v>
      </c>
      <c r="K110" s="97">
        <v>0.0</v>
      </c>
      <c r="L110" s="96">
        <v>0.0</v>
      </c>
      <c r="M110" s="96">
        <v>0.0</v>
      </c>
      <c r="N110" s="97">
        <v>0.0</v>
      </c>
      <c r="O110" s="79" t="s">
        <v>86</v>
      </c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20.25" customHeight="1">
      <c r="A111" s="29">
        <v>17.0</v>
      </c>
      <c r="B111" s="30" t="s">
        <v>33</v>
      </c>
      <c r="C111" s="96">
        <v>0.0</v>
      </c>
      <c r="D111" s="96">
        <v>0.0</v>
      </c>
      <c r="E111" s="97">
        <v>0.0</v>
      </c>
      <c r="F111" s="96">
        <v>0.0</v>
      </c>
      <c r="G111" s="96">
        <v>0.0</v>
      </c>
      <c r="H111" s="97">
        <v>0.0</v>
      </c>
      <c r="I111" s="96">
        <v>0.0</v>
      </c>
      <c r="J111" s="96">
        <v>0.0</v>
      </c>
      <c r="K111" s="97">
        <v>0.0</v>
      </c>
      <c r="L111" s="96">
        <v>0.0</v>
      </c>
      <c r="M111" s="96">
        <v>0.0</v>
      </c>
      <c r="N111" s="97">
        <v>0.0</v>
      </c>
      <c r="O111" s="103" t="s">
        <v>87</v>
      </c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20.25" customHeight="1">
      <c r="A112" s="29">
        <v>18.0</v>
      </c>
      <c r="B112" s="30" t="s">
        <v>34</v>
      </c>
      <c r="C112" s="96">
        <v>0.0</v>
      </c>
      <c r="D112" s="96">
        <v>0.0</v>
      </c>
      <c r="E112" s="97">
        <v>0.0</v>
      </c>
      <c r="F112" s="96">
        <v>0.0</v>
      </c>
      <c r="G112" s="96">
        <v>0.0</v>
      </c>
      <c r="H112" s="97">
        <v>0.0</v>
      </c>
      <c r="I112" s="96">
        <v>0.0</v>
      </c>
      <c r="J112" s="96">
        <v>0.0</v>
      </c>
      <c r="K112" s="97">
        <v>0.0</v>
      </c>
      <c r="L112" s="96">
        <v>0.0</v>
      </c>
      <c r="M112" s="96">
        <v>0.0</v>
      </c>
      <c r="N112" s="97">
        <v>0.0</v>
      </c>
      <c r="O112" s="103" t="s">
        <v>88</v>
      </c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20.25" customHeight="1">
      <c r="A113" s="29">
        <v>19.0</v>
      </c>
      <c r="B113" s="55" t="s">
        <v>35</v>
      </c>
      <c r="C113" s="96">
        <v>0.0</v>
      </c>
      <c r="D113" s="96">
        <v>0.0</v>
      </c>
      <c r="E113" s="97">
        <v>0.0</v>
      </c>
      <c r="F113" s="96">
        <v>0.0</v>
      </c>
      <c r="G113" s="96">
        <v>0.0</v>
      </c>
      <c r="H113" s="97">
        <v>0.0</v>
      </c>
      <c r="I113" s="96">
        <v>0.0</v>
      </c>
      <c r="J113" s="96">
        <v>0.0</v>
      </c>
      <c r="K113" s="97">
        <v>0.0</v>
      </c>
      <c r="L113" s="96">
        <v>0.0</v>
      </c>
      <c r="M113" s="96">
        <v>0.0</v>
      </c>
      <c r="N113" s="97">
        <v>0.0</v>
      </c>
      <c r="O113" s="79" t="s">
        <v>89</v>
      </c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20.25" customHeight="1">
      <c r="A114" s="57" t="s">
        <v>36</v>
      </c>
      <c r="B114" s="21"/>
      <c r="C114" s="58">
        <f t="shared" ref="C114:N114" si="21">SUM(C95:C113)</f>
        <v>224310</v>
      </c>
      <c r="D114" s="58">
        <f t="shared" si="21"/>
        <v>144287.52</v>
      </c>
      <c r="E114" s="113">
        <f t="shared" si="21"/>
        <v>80022.48</v>
      </c>
      <c r="F114" s="60">
        <f t="shared" si="21"/>
        <v>118910</v>
      </c>
      <c r="G114" s="60">
        <f t="shared" si="21"/>
        <v>118910</v>
      </c>
      <c r="H114" s="59">
        <f t="shared" si="21"/>
        <v>0</v>
      </c>
      <c r="I114" s="60">
        <f t="shared" si="21"/>
        <v>0</v>
      </c>
      <c r="J114" s="60">
        <f t="shared" si="21"/>
        <v>0</v>
      </c>
      <c r="K114" s="87">
        <f t="shared" si="21"/>
        <v>0</v>
      </c>
      <c r="L114" s="60">
        <f t="shared" si="21"/>
        <v>0</v>
      </c>
      <c r="M114" s="60">
        <f t="shared" si="21"/>
        <v>0</v>
      </c>
      <c r="N114" s="87">
        <f t="shared" si="21"/>
        <v>0</v>
      </c>
      <c r="O114" s="79" t="s">
        <v>90</v>
      </c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20.25" customHeight="1">
      <c r="A115" s="4"/>
      <c r="B115" s="4"/>
      <c r="C115" s="4"/>
      <c r="D115" s="4"/>
      <c r="E115" s="63"/>
      <c r="F115" s="4"/>
      <c r="G115" s="4"/>
      <c r="H115" s="63"/>
      <c r="I115" s="4"/>
      <c r="J115" s="4"/>
      <c r="K115" s="63"/>
      <c r="L115" s="4"/>
      <c r="M115" s="4"/>
      <c r="N115" s="6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0.25" customHeight="1">
      <c r="A116" s="4"/>
      <c r="B116" s="4"/>
      <c r="C116" s="4"/>
      <c r="D116" s="4"/>
      <c r="E116" s="63"/>
      <c r="F116" s="4"/>
      <c r="G116" s="4"/>
      <c r="H116" s="63"/>
      <c r="I116" s="4"/>
      <c r="J116" s="4"/>
      <c r="K116" s="63"/>
      <c r="L116" s="4"/>
      <c r="M116" s="4"/>
      <c r="N116" s="6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0.25" customHeight="1">
      <c r="A117" s="1" t="s">
        <v>0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0.25" customHeight="1">
      <c r="A118" s="1" t="s">
        <v>2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0.25" customHeight="1">
      <c r="A119" s="10" t="s">
        <v>4</v>
      </c>
      <c r="B119" s="10" t="s">
        <v>5</v>
      </c>
      <c r="C119" s="101"/>
      <c r="D119" s="7"/>
      <c r="E119" s="8"/>
      <c r="F119" s="101"/>
      <c r="G119" s="7"/>
      <c r="H119" s="8"/>
      <c r="I119" s="101"/>
      <c r="J119" s="7"/>
      <c r="K119" s="8"/>
      <c r="L119" s="101"/>
      <c r="M119" s="7"/>
      <c r="N119" s="8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0.25" customHeight="1">
      <c r="A120" s="12"/>
      <c r="B120" s="12"/>
      <c r="C120" s="14"/>
      <c r="D120" s="15"/>
      <c r="E120" s="16"/>
      <c r="F120" s="14"/>
      <c r="G120" s="15"/>
      <c r="H120" s="16"/>
      <c r="I120" s="14"/>
      <c r="J120" s="15"/>
      <c r="K120" s="16"/>
      <c r="L120" s="14"/>
      <c r="M120" s="15"/>
      <c r="N120" s="1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0.25" customHeight="1">
      <c r="A121" s="12"/>
      <c r="B121" s="12"/>
      <c r="C121" s="90" t="s">
        <v>58</v>
      </c>
      <c r="E121" s="13"/>
      <c r="F121" s="90" t="s">
        <v>58</v>
      </c>
      <c r="H121" s="13"/>
      <c r="I121" s="90" t="s">
        <v>58</v>
      </c>
      <c r="K121" s="13"/>
      <c r="L121" s="90" t="s">
        <v>58</v>
      </c>
      <c r="N121" s="1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0.25" customHeight="1">
      <c r="A122" s="22"/>
      <c r="B122" s="22"/>
      <c r="C122" s="25" t="s">
        <v>13</v>
      </c>
      <c r="D122" s="25" t="s">
        <v>14</v>
      </c>
      <c r="E122" s="91" t="s">
        <v>15</v>
      </c>
      <c r="F122" s="25" t="s">
        <v>13</v>
      </c>
      <c r="G122" s="25" t="s">
        <v>14</v>
      </c>
      <c r="H122" s="91" t="s">
        <v>15</v>
      </c>
      <c r="I122" s="25" t="s">
        <v>13</v>
      </c>
      <c r="J122" s="25" t="s">
        <v>14</v>
      </c>
      <c r="K122" s="91" t="s">
        <v>15</v>
      </c>
      <c r="L122" s="25" t="s">
        <v>13</v>
      </c>
      <c r="M122" s="25" t="s">
        <v>14</v>
      </c>
      <c r="N122" s="91" t="s">
        <v>15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0.25" customHeight="1">
      <c r="A123" s="92"/>
      <c r="B123" s="21"/>
      <c r="C123" s="114"/>
      <c r="D123" s="20"/>
      <c r="E123" s="21"/>
      <c r="F123" s="73"/>
      <c r="G123" s="20"/>
      <c r="H123" s="21"/>
      <c r="I123" s="73"/>
      <c r="J123" s="20"/>
      <c r="K123" s="20"/>
      <c r="L123" s="73"/>
      <c r="M123" s="20"/>
      <c r="N123" s="2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0.25" customHeight="1">
      <c r="A124" s="115">
        <v>1.0</v>
      </c>
      <c r="B124" s="116" t="s">
        <v>17</v>
      </c>
      <c r="C124" s="117"/>
      <c r="D124" s="118"/>
      <c r="E124" s="119">
        <f>SUM(C124-D124)</f>
        <v>0</v>
      </c>
      <c r="F124" s="117"/>
      <c r="G124" s="120"/>
      <c r="H124" s="121">
        <f>SUM(F124-G124)</f>
        <v>0</v>
      </c>
      <c r="I124" s="122"/>
      <c r="J124" s="123"/>
      <c r="K124" s="121">
        <f>SUM(I124-J124)</f>
        <v>0</v>
      </c>
      <c r="L124" s="122"/>
      <c r="M124" s="123"/>
      <c r="N124" s="121">
        <f>SUM(L124-M124)</f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0.25" customHeight="1">
      <c r="A125" s="115">
        <v>2.0</v>
      </c>
      <c r="B125" s="124" t="s">
        <v>18</v>
      </c>
      <c r="C125" s="125"/>
      <c r="D125" s="125"/>
      <c r="E125" s="126"/>
      <c r="F125" s="125">
        <v>0.0</v>
      </c>
      <c r="G125" s="125">
        <v>0.0</v>
      </c>
      <c r="H125" s="126">
        <v>0.0</v>
      </c>
      <c r="I125" s="125">
        <v>0.0</v>
      </c>
      <c r="J125" s="125">
        <v>0.0</v>
      </c>
      <c r="K125" s="126">
        <v>0.0</v>
      </c>
      <c r="L125" s="125">
        <v>0.0</v>
      </c>
      <c r="M125" s="125">
        <v>0.0</v>
      </c>
      <c r="N125" s="126">
        <v>0.0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0.25" customHeight="1">
      <c r="A126" s="115">
        <v>3.0</v>
      </c>
      <c r="B126" s="116" t="s">
        <v>19</v>
      </c>
      <c r="C126" s="125">
        <v>0.0</v>
      </c>
      <c r="D126" s="125">
        <v>0.0</v>
      </c>
      <c r="E126" s="126">
        <v>0.0</v>
      </c>
      <c r="F126" s="125">
        <v>0.0</v>
      </c>
      <c r="G126" s="125">
        <v>0.0</v>
      </c>
      <c r="H126" s="126">
        <v>0.0</v>
      </c>
      <c r="I126" s="125">
        <v>0.0</v>
      </c>
      <c r="J126" s="125">
        <v>0.0</v>
      </c>
      <c r="K126" s="126">
        <v>0.0</v>
      </c>
      <c r="L126" s="125">
        <v>0.0</v>
      </c>
      <c r="M126" s="125">
        <v>0.0</v>
      </c>
      <c r="N126" s="126">
        <v>0.0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0.25" customHeight="1">
      <c r="A127" s="115">
        <v>4.0</v>
      </c>
      <c r="B127" s="116" t="s">
        <v>20</v>
      </c>
      <c r="C127" s="125">
        <v>0.0</v>
      </c>
      <c r="D127" s="125">
        <v>0.0</v>
      </c>
      <c r="E127" s="126">
        <v>0.0</v>
      </c>
      <c r="F127" s="125">
        <v>0.0</v>
      </c>
      <c r="G127" s="125">
        <v>0.0</v>
      </c>
      <c r="H127" s="126">
        <v>0.0</v>
      </c>
      <c r="I127" s="125">
        <v>0.0</v>
      </c>
      <c r="J127" s="125">
        <v>0.0</v>
      </c>
      <c r="K127" s="126">
        <v>0.0</v>
      </c>
      <c r="L127" s="125">
        <v>0.0</v>
      </c>
      <c r="M127" s="125">
        <v>0.0</v>
      </c>
      <c r="N127" s="126">
        <v>0.0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0.25" customHeight="1">
      <c r="A128" s="115">
        <v>5.0</v>
      </c>
      <c r="B128" s="116" t="s">
        <v>21</v>
      </c>
      <c r="C128" s="125">
        <v>0.0</v>
      </c>
      <c r="D128" s="125">
        <v>0.0</v>
      </c>
      <c r="E128" s="126">
        <v>0.0</v>
      </c>
      <c r="F128" s="125">
        <v>0.0</v>
      </c>
      <c r="G128" s="125">
        <v>0.0</v>
      </c>
      <c r="H128" s="126">
        <v>0.0</v>
      </c>
      <c r="I128" s="125">
        <v>0.0</v>
      </c>
      <c r="J128" s="125">
        <v>0.0</v>
      </c>
      <c r="K128" s="126">
        <v>0.0</v>
      </c>
      <c r="L128" s="125">
        <v>0.0</v>
      </c>
      <c r="M128" s="125">
        <v>0.0</v>
      </c>
      <c r="N128" s="126">
        <v>0.0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0.25" customHeight="1">
      <c r="A129" s="115">
        <v>6.0</v>
      </c>
      <c r="B129" s="116" t="s">
        <v>22</v>
      </c>
      <c r="C129" s="125">
        <v>0.0</v>
      </c>
      <c r="D129" s="125">
        <v>0.0</v>
      </c>
      <c r="E129" s="126">
        <v>0.0</v>
      </c>
      <c r="F129" s="125">
        <v>0.0</v>
      </c>
      <c r="G129" s="125">
        <v>0.0</v>
      </c>
      <c r="H129" s="126">
        <v>0.0</v>
      </c>
      <c r="I129" s="125">
        <v>0.0</v>
      </c>
      <c r="J129" s="125">
        <v>0.0</v>
      </c>
      <c r="K129" s="126">
        <v>0.0</v>
      </c>
      <c r="L129" s="125">
        <v>0.0</v>
      </c>
      <c r="M129" s="125">
        <v>0.0</v>
      </c>
      <c r="N129" s="126">
        <v>0.0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0.25" customHeight="1">
      <c r="A130" s="115">
        <v>7.0</v>
      </c>
      <c r="B130" s="116" t="s">
        <v>23</v>
      </c>
      <c r="C130" s="125">
        <v>0.0</v>
      </c>
      <c r="D130" s="125">
        <v>0.0</v>
      </c>
      <c r="E130" s="126">
        <v>0.0</v>
      </c>
      <c r="F130" s="125">
        <v>0.0</v>
      </c>
      <c r="G130" s="125">
        <v>0.0</v>
      </c>
      <c r="H130" s="126">
        <v>0.0</v>
      </c>
      <c r="I130" s="125">
        <v>0.0</v>
      </c>
      <c r="J130" s="125">
        <v>0.0</v>
      </c>
      <c r="K130" s="126">
        <v>0.0</v>
      </c>
      <c r="L130" s="125">
        <v>0.0</v>
      </c>
      <c r="M130" s="125">
        <v>0.0</v>
      </c>
      <c r="N130" s="126">
        <v>0.0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0.25" customHeight="1">
      <c r="A131" s="115">
        <v>8.0</v>
      </c>
      <c r="B131" s="116" t="s">
        <v>24</v>
      </c>
      <c r="C131" s="125">
        <v>0.0</v>
      </c>
      <c r="D131" s="125">
        <v>0.0</v>
      </c>
      <c r="E131" s="126">
        <v>0.0</v>
      </c>
      <c r="F131" s="125">
        <v>0.0</v>
      </c>
      <c r="G131" s="125">
        <v>0.0</v>
      </c>
      <c r="H131" s="126">
        <v>0.0</v>
      </c>
      <c r="I131" s="125">
        <v>0.0</v>
      </c>
      <c r="J131" s="125">
        <v>0.0</v>
      </c>
      <c r="K131" s="126">
        <v>0.0</v>
      </c>
      <c r="L131" s="125">
        <v>0.0</v>
      </c>
      <c r="M131" s="125">
        <v>0.0</v>
      </c>
      <c r="N131" s="126">
        <v>0.0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0.25" customHeight="1">
      <c r="A132" s="115">
        <v>9.0</v>
      </c>
      <c r="B132" s="116" t="s">
        <v>25</v>
      </c>
      <c r="C132" s="125">
        <v>0.0</v>
      </c>
      <c r="D132" s="125">
        <v>0.0</v>
      </c>
      <c r="E132" s="126">
        <v>0.0</v>
      </c>
      <c r="F132" s="125">
        <v>0.0</v>
      </c>
      <c r="G132" s="125">
        <v>0.0</v>
      </c>
      <c r="H132" s="126">
        <v>0.0</v>
      </c>
      <c r="I132" s="125">
        <v>0.0</v>
      </c>
      <c r="J132" s="125">
        <v>0.0</v>
      </c>
      <c r="K132" s="126">
        <v>0.0</v>
      </c>
      <c r="L132" s="125">
        <v>0.0</v>
      </c>
      <c r="M132" s="125">
        <v>0.0</v>
      </c>
      <c r="N132" s="126">
        <v>0.0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0.25" customHeight="1">
      <c r="A133" s="115">
        <v>10.0</v>
      </c>
      <c r="B133" s="116" t="s">
        <v>26</v>
      </c>
      <c r="C133" s="125">
        <v>0.0</v>
      </c>
      <c r="D133" s="125">
        <v>0.0</v>
      </c>
      <c r="E133" s="126">
        <v>0.0</v>
      </c>
      <c r="F133" s="125">
        <v>0.0</v>
      </c>
      <c r="G133" s="125">
        <v>0.0</v>
      </c>
      <c r="H133" s="126">
        <v>0.0</v>
      </c>
      <c r="I133" s="125">
        <v>0.0</v>
      </c>
      <c r="J133" s="125">
        <v>0.0</v>
      </c>
      <c r="K133" s="126">
        <v>0.0</v>
      </c>
      <c r="L133" s="125">
        <v>0.0</v>
      </c>
      <c r="M133" s="125">
        <v>0.0</v>
      </c>
      <c r="N133" s="126">
        <v>0.0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0.25" customHeight="1">
      <c r="A134" s="115">
        <v>11.0</v>
      </c>
      <c r="B134" s="116" t="s">
        <v>27</v>
      </c>
      <c r="C134" s="125">
        <v>0.0</v>
      </c>
      <c r="D134" s="125">
        <v>0.0</v>
      </c>
      <c r="E134" s="126">
        <v>0.0</v>
      </c>
      <c r="F134" s="125">
        <v>0.0</v>
      </c>
      <c r="G134" s="125">
        <v>0.0</v>
      </c>
      <c r="H134" s="126">
        <v>0.0</v>
      </c>
      <c r="I134" s="125">
        <v>0.0</v>
      </c>
      <c r="J134" s="125">
        <v>0.0</v>
      </c>
      <c r="K134" s="126">
        <v>0.0</v>
      </c>
      <c r="L134" s="125">
        <v>0.0</v>
      </c>
      <c r="M134" s="125">
        <v>0.0</v>
      </c>
      <c r="N134" s="126">
        <v>0.0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0.25" customHeight="1">
      <c r="A135" s="115">
        <v>12.0</v>
      </c>
      <c r="B135" s="116" t="s">
        <v>28</v>
      </c>
      <c r="C135" s="125">
        <v>0.0</v>
      </c>
      <c r="D135" s="125">
        <v>0.0</v>
      </c>
      <c r="E135" s="126">
        <v>0.0</v>
      </c>
      <c r="F135" s="125">
        <v>0.0</v>
      </c>
      <c r="G135" s="125">
        <v>0.0</v>
      </c>
      <c r="H135" s="126">
        <v>0.0</v>
      </c>
      <c r="I135" s="125">
        <v>0.0</v>
      </c>
      <c r="J135" s="125">
        <v>0.0</v>
      </c>
      <c r="K135" s="126">
        <v>0.0</v>
      </c>
      <c r="L135" s="125">
        <v>0.0</v>
      </c>
      <c r="M135" s="125">
        <v>0.0</v>
      </c>
      <c r="N135" s="126">
        <v>0.0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0.25" customHeight="1">
      <c r="A136" s="115">
        <v>13.0</v>
      </c>
      <c r="B136" s="116" t="s">
        <v>29</v>
      </c>
      <c r="C136" s="125">
        <v>0.0</v>
      </c>
      <c r="D136" s="125">
        <v>0.0</v>
      </c>
      <c r="E136" s="126">
        <v>0.0</v>
      </c>
      <c r="F136" s="125">
        <v>0.0</v>
      </c>
      <c r="G136" s="125">
        <v>0.0</v>
      </c>
      <c r="H136" s="126">
        <v>0.0</v>
      </c>
      <c r="I136" s="125">
        <v>0.0</v>
      </c>
      <c r="J136" s="125">
        <v>0.0</v>
      </c>
      <c r="K136" s="126">
        <v>0.0</v>
      </c>
      <c r="L136" s="125">
        <v>0.0</v>
      </c>
      <c r="M136" s="125">
        <v>0.0</v>
      </c>
      <c r="N136" s="126">
        <v>0.0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0.25" customHeight="1">
      <c r="A137" s="115">
        <v>14.0</v>
      </c>
      <c r="B137" s="116" t="s">
        <v>30</v>
      </c>
      <c r="C137" s="125">
        <v>0.0</v>
      </c>
      <c r="D137" s="125">
        <v>0.0</v>
      </c>
      <c r="E137" s="126">
        <v>0.0</v>
      </c>
      <c r="F137" s="125">
        <v>0.0</v>
      </c>
      <c r="G137" s="125">
        <v>0.0</v>
      </c>
      <c r="H137" s="126">
        <v>0.0</v>
      </c>
      <c r="I137" s="125">
        <v>0.0</v>
      </c>
      <c r="J137" s="125">
        <v>0.0</v>
      </c>
      <c r="K137" s="126">
        <v>0.0</v>
      </c>
      <c r="L137" s="125">
        <v>0.0</v>
      </c>
      <c r="M137" s="125">
        <v>0.0</v>
      </c>
      <c r="N137" s="126">
        <v>0.0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0.25" customHeight="1">
      <c r="A138" s="115">
        <v>15.0</v>
      </c>
      <c r="B138" s="116" t="s">
        <v>31</v>
      </c>
      <c r="C138" s="125">
        <v>0.0</v>
      </c>
      <c r="D138" s="125">
        <v>0.0</v>
      </c>
      <c r="E138" s="126">
        <v>0.0</v>
      </c>
      <c r="F138" s="125">
        <v>0.0</v>
      </c>
      <c r="G138" s="125">
        <v>0.0</v>
      </c>
      <c r="H138" s="126">
        <v>0.0</v>
      </c>
      <c r="I138" s="125">
        <v>0.0</v>
      </c>
      <c r="J138" s="125">
        <v>0.0</v>
      </c>
      <c r="K138" s="126">
        <v>0.0</v>
      </c>
      <c r="L138" s="125">
        <v>0.0</v>
      </c>
      <c r="M138" s="125">
        <v>0.0</v>
      </c>
      <c r="N138" s="126">
        <v>0.0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0.25" customHeight="1">
      <c r="A139" s="115">
        <v>16.0</v>
      </c>
      <c r="B139" s="116" t="s">
        <v>32</v>
      </c>
      <c r="C139" s="125">
        <v>0.0</v>
      </c>
      <c r="D139" s="125">
        <v>0.0</v>
      </c>
      <c r="E139" s="126">
        <v>0.0</v>
      </c>
      <c r="F139" s="125">
        <v>0.0</v>
      </c>
      <c r="G139" s="125">
        <v>0.0</v>
      </c>
      <c r="H139" s="126">
        <v>0.0</v>
      </c>
      <c r="I139" s="125">
        <v>0.0</v>
      </c>
      <c r="J139" s="125">
        <v>0.0</v>
      </c>
      <c r="K139" s="126">
        <v>0.0</v>
      </c>
      <c r="L139" s="125">
        <v>0.0</v>
      </c>
      <c r="M139" s="125">
        <v>0.0</v>
      </c>
      <c r="N139" s="126">
        <v>0.0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0.25" customHeight="1">
      <c r="A140" s="115">
        <v>17.0</v>
      </c>
      <c r="B140" s="116" t="s">
        <v>33</v>
      </c>
      <c r="C140" s="125">
        <v>0.0</v>
      </c>
      <c r="D140" s="125">
        <v>0.0</v>
      </c>
      <c r="E140" s="126">
        <v>0.0</v>
      </c>
      <c r="F140" s="125">
        <v>0.0</v>
      </c>
      <c r="G140" s="125">
        <v>0.0</v>
      </c>
      <c r="H140" s="126">
        <v>0.0</v>
      </c>
      <c r="I140" s="125">
        <v>0.0</v>
      </c>
      <c r="J140" s="125">
        <v>0.0</v>
      </c>
      <c r="K140" s="126">
        <v>0.0</v>
      </c>
      <c r="L140" s="125">
        <v>0.0</v>
      </c>
      <c r="M140" s="125">
        <v>0.0</v>
      </c>
      <c r="N140" s="126">
        <v>0.0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0.25" customHeight="1">
      <c r="A141" s="115">
        <v>18.0</v>
      </c>
      <c r="B141" s="116" t="s">
        <v>34</v>
      </c>
      <c r="C141" s="125">
        <v>0.0</v>
      </c>
      <c r="D141" s="125">
        <v>0.0</v>
      </c>
      <c r="E141" s="126">
        <v>0.0</v>
      </c>
      <c r="F141" s="125">
        <v>0.0</v>
      </c>
      <c r="G141" s="125">
        <v>0.0</v>
      </c>
      <c r="H141" s="126">
        <v>0.0</v>
      </c>
      <c r="I141" s="125">
        <v>0.0</v>
      </c>
      <c r="J141" s="125">
        <v>0.0</v>
      </c>
      <c r="K141" s="126">
        <v>0.0</v>
      </c>
      <c r="L141" s="125">
        <v>0.0</v>
      </c>
      <c r="M141" s="125">
        <v>0.0</v>
      </c>
      <c r="N141" s="126">
        <v>0.0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0.25" customHeight="1">
      <c r="A142" s="115">
        <v>19.0</v>
      </c>
      <c r="B142" s="127" t="s">
        <v>35</v>
      </c>
      <c r="C142" s="125">
        <v>0.0</v>
      </c>
      <c r="D142" s="125">
        <v>0.0</v>
      </c>
      <c r="E142" s="126">
        <v>0.0</v>
      </c>
      <c r="F142" s="125">
        <v>0.0</v>
      </c>
      <c r="G142" s="125">
        <v>0.0</v>
      </c>
      <c r="H142" s="126">
        <v>0.0</v>
      </c>
      <c r="I142" s="125">
        <v>0.0</v>
      </c>
      <c r="J142" s="125">
        <v>0.0</v>
      </c>
      <c r="K142" s="126">
        <v>0.0</v>
      </c>
      <c r="L142" s="125">
        <v>0.0</v>
      </c>
      <c r="M142" s="125">
        <v>0.0</v>
      </c>
      <c r="N142" s="126">
        <v>0.0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0.25" customHeight="1">
      <c r="A143" s="92" t="s">
        <v>36</v>
      </c>
      <c r="B143" s="21"/>
      <c r="C143" s="128">
        <f t="shared" ref="C143:N143" si="22">SUM(C124:C142)</f>
        <v>0</v>
      </c>
      <c r="D143" s="128">
        <f t="shared" si="22"/>
        <v>0</v>
      </c>
      <c r="E143" s="129">
        <f t="shared" si="22"/>
        <v>0</v>
      </c>
      <c r="F143" s="130">
        <f t="shared" si="22"/>
        <v>0</v>
      </c>
      <c r="G143" s="130">
        <f t="shared" si="22"/>
        <v>0</v>
      </c>
      <c r="H143" s="129">
        <f t="shared" si="22"/>
        <v>0</v>
      </c>
      <c r="I143" s="129">
        <f t="shared" si="22"/>
        <v>0</v>
      </c>
      <c r="J143" s="129">
        <f t="shared" si="22"/>
        <v>0</v>
      </c>
      <c r="K143" s="129">
        <f t="shared" si="22"/>
        <v>0</v>
      </c>
      <c r="L143" s="129">
        <f t="shared" si="22"/>
        <v>0</v>
      </c>
      <c r="M143" s="129">
        <f t="shared" si="22"/>
        <v>0</v>
      </c>
      <c r="N143" s="129">
        <f t="shared" si="22"/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</sheetData>
  <mergeCells count="99">
    <mergeCell ref="F3:H4"/>
    <mergeCell ref="I3:K4"/>
    <mergeCell ref="L3:N4"/>
    <mergeCell ref="P3:P6"/>
    <mergeCell ref="L5:N5"/>
    <mergeCell ref="L7:N7"/>
    <mergeCell ref="P7:Q7"/>
    <mergeCell ref="R7:T7"/>
    <mergeCell ref="P2:U2"/>
    <mergeCell ref="R3:U4"/>
    <mergeCell ref="I5:K5"/>
    <mergeCell ref="R5:U5"/>
    <mergeCell ref="A1:N1"/>
    <mergeCell ref="P1:U1"/>
    <mergeCell ref="A2:N2"/>
    <mergeCell ref="A3:A6"/>
    <mergeCell ref="B3:B6"/>
    <mergeCell ref="C3:E4"/>
    <mergeCell ref="Q3:Q6"/>
    <mergeCell ref="C5:E5"/>
    <mergeCell ref="F5:H5"/>
    <mergeCell ref="A7:B7"/>
    <mergeCell ref="C7:E7"/>
    <mergeCell ref="F7:H7"/>
    <mergeCell ref="I7:K7"/>
    <mergeCell ref="P27:Q27"/>
    <mergeCell ref="C34:E34"/>
    <mergeCell ref="F34:H34"/>
    <mergeCell ref="I32:K33"/>
    <mergeCell ref="L32:N33"/>
    <mergeCell ref="I34:K34"/>
    <mergeCell ref="L34:N34"/>
    <mergeCell ref="A27:B27"/>
    <mergeCell ref="A30:N30"/>
    <mergeCell ref="A31:N31"/>
    <mergeCell ref="A32:A35"/>
    <mergeCell ref="B32:B35"/>
    <mergeCell ref="C32:E33"/>
    <mergeCell ref="F32:H33"/>
    <mergeCell ref="A36:B36"/>
    <mergeCell ref="C36:E36"/>
    <mergeCell ref="F36:H36"/>
    <mergeCell ref="I36:K36"/>
    <mergeCell ref="L36:N36"/>
    <mergeCell ref="A59:N59"/>
    <mergeCell ref="A60:N60"/>
    <mergeCell ref="I63:K63"/>
    <mergeCell ref="L63:N63"/>
    <mergeCell ref="A65:B65"/>
    <mergeCell ref="C65:E65"/>
    <mergeCell ref="F65:H65"/>
    <mergeCell ref="I65:K65"/>
    <mergeCell ref="L65:N65"/>
    <mergeCell ref="C90:E91"/>
    <mergeCell ref="F90:H91"/>
    <mergeCell ref="C63:E63"/>
    <mergeCell ref="F63:H63"/>
    <mergeCell ref="A85:B85"/>
    <mergeCell ref="A88:N88"/>
    <mergeCell ref="A89:N89"/>
    <mergeCell ref="A90:A93"/>
    <mergeCell ref="B90:B93"/>
    <mergeCell ref="I121:K121"/>
    <mergeCell ref="L121:N121"/>
    <mergeCell ref="A123:B123"/>
    <mergeCell ref="C123:E123"/>
    <mergeCell ref="F123:H123"/>
    <mergeCell ref="I123:K123"/>
    <mergeCell ref="L123:N123"/>
    <mergeCell ref="A143:B143"/>
    <mergeCell ref="C92:E92"/>
    <mergeCell ref="F92:H92"/>
    <mergeCell ref="A114:B114"/>
    <mergeCell ref="A117:N117"/>
    <mergeCell ref="A118:N118"/>
    <mergeCell ref="A119:A122"/>
    <mergeCell ref="B119:B122"/>
    <mergeCell ref="A56:B56"/>
    <mergeCell ref="A61:A64"/>
    <mergeCell ref="B61:B64"/>
    <mergeCell ref="C61:E62"/>
    <mergeCell ref="F61:H62"/>
    <mergeCell ref="I61:K62"/>
    <mergeCell ref="L61:N62"/>
    <mergeCell ref="I90:K91"/>
    <mergeCell ref="L90:N91"/>
    <mergeCell ref="I92:K92"/>
    <mergeCell ref="L92:N92"/>
    <mergeCell ref="A94:B94"/>
    <mergeCell ref="C94:E94"/>
    <mergeCell ref="F94:H94"/>
    <mergeCell ref="I94:K94"/>
    <mergeCell ref="L94:N94"/>
    <mergeCell ref="C119:E120"/>
    <mergeCell ref="F119:H120"/>
    <mergeCell ref="I119:K120"/>
    <mergeCell ref="L119:N120"/>
    <mergeCell ref="C121:E121"/>
    <mergeCell ref="F121:H121"/>
  </mergeCells>
  <conditionalFormatting sqref="N85">
    <cfRule type="cellIs" dxfId="0" priority="1" operator="equal">
      <formula>0</formula>
    </cfRule>
  </conditionalFormatting>
  <conditionalFormatting sqref="N85">
    <cfRule type="cellIs" dxfId="1" priority="2" operator="between">
      <formula>1</formula>
      <formula>2999</formula>
    </cfRule>
  </conditionalFormatting>
  <conditionalFormatting sqref="N85">
    <cfRule type="cellIs" dxfId="2" priority="3" operator="equal">
      <formula>3000</formula>
    </cfRule>
  </conditionalFormatting>
  <printOptions gridLines="1" horizontalCentered="1"/>
  <pageMargins bottom="0.75" footer="0.0" header="0.0" left="0.7" right="0.7" top="0.75"/>
  <pageSetup fitToHeight="0" paperSize="12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6.29"/>
    <col customWidth="1" min="3" max="7" width="12.86"/>
    <col customWidth="1" min="8" max="8" width="16.29"/>
    <col customWidth="1" min="9" max="14" width="12.86"/>
    <col customWidth="1" min="15" max="15" width="8.71"/>
    <col customWidth="1" min="16" max="16" width="9.14"/>
    <col customWidth="1" min="17" max="17" width="14.86"/>
    <col customWidth="1" min="18" max="18" width="14.0"/>
    <col customWidth="1" min="19" max="19" width="17.14"/>
    <col customWidth="1" min="20" max="20" width="16.0"/>
    <col customWidth="1" min="21" max="21" width="19.71"/>
    <col customWidth="1" min="22" max="22" width="15.57"/>
    <col customWidth="1" min="23" max="25" width="8.71"/>
  </cols>
  <sheetData>
    <row r="1" ht="21.0" customHeight="1">
      <c r="A1" s="131" t="s">
        <v>91</v>
      </c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</row>
    <row r="2" ht="21.0" customHeight="1">
      <c r="A2" s="131" t="s">
        <v>92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ht="21.0" customHeight="1">
      <c r="A3" s="133" t="s">
        <v>4</v>
      </c>
      <c r="B3" s="133" t="s">
        <v>5</v>
      </c>
      <c r="C3" s="134" t="s">
        <v>93</v>
      </c>
      <c r="D3" s="7"/>
      <c r="E3" s="8"/>
      <c r="F3" s="135" t="s">
        <v>94</v>
      </c>
      <c r="G3" s="7"/>
      <c r="H3" s="8"/>
      <c r="I3" s="135" t="s">
        <v>95</v>
      </c>
      <c r="J3" s="7"/>
      <c r="K3" s="8"/>
      <c r="L3" s="135" t="s">
        <v>96</v>
      </c>
      <c r="M3" s="7"/>
      <c r="N3" s="8"/>
      <c r="O3" s="136"/>
      <c r="P3" s="137" t="s">
        <v>4</v>
      </c>
      <c r="Q3" s="137" t="s">
        <v>5</v>
      </c>
      <c r="R3" s="138" t="s">
        <v>97</v>
      </c>
      <c r="S3" s="7"/>
      <c r="T3" s="7"/>
      <c r="U3" s="7"/>
      <c r="V3" s="136"/>
      <c r="W3" s="136"/>
      <c r="X3" s="136"/>
      <c r="Y3" s="136"/>
    </row>
    <row r="4" ht="21.0" customHeight="1">
      <c r="A4" s="12"/>
      <c r="B4" s="12"/>
      <c r="E4" s="13"/>
      <c r="F4" s="14"/>
      <c r="G4" s="15"/>
      <c r="H4" s="16"/>
      <c r="I4" s="14"/>
      <c r="J4" s="15"/>
      <c r="K4" s="16"/>
      <c r="L4" s="14"/>
      <c r="M4" s="15"/>
      <c r="N4" s="16"/>
      <c r="O4" s="136" t="s">
        <v>98</v>
      </c>
      <c r="P4" s="12"/>
      <c r="Q4" s="12"/>
      <c r="R4" s="14"/>
      <c r="S4" s="15"/>
      <c r="T4" s="15"/>
      <c r="U4" s="15"/>
      <c r="V4" s="136"/>
      <c r="W4" s="136"/>
      <c r="X4" s="136"/>
      <c r="Y4" s="136"/>
    </row>
    <row r="5" ht="21.0" customHeight="1">
      <c r="A5" s="12"/>
      <c r="B5" s="12"/>
      <c r="C5" s="139" t="s">
        <v>99</v>
      </c>
      <c r="D5" s="7"/>
      <c r="E5" s="8"/>
      <c r="F5" s="140" t="s">
        <v>99</v>
      </c>
      <c r="H5" s="13"/>
      <c r="I5" s="141" t="s">
        <v>99</v>
      </c>
      <c r="K5" s="13"/>
      <c r="L5" s="142" t="s">
        <v>99</v>
      </c>
      <c r="M5" s="15"/>
      <c r="N5" s="16"/>
      <c r="O5" s="136"/>
      <c r="P5" s="12"/>
      <c r="Q5" s="12"/>
      <c r="R5" s="143" t="s">
        <v>12</v>
      </c>
      <c r="S5" s="20"/>
      <c r="T5" s="20"/>
      <c r="U5" s="21"/>
      <c r="V5" s="136"/>
      <c r="W5" s="136"/>
      <c r="X5" s="136"/>
      <c r="Y5" s="136"/>
    </row>
    <row r="6" ht="21.0" customHeight="1">
      <c r="A6" s="22"/>
      <c r="B6" s="22"/>
      <c r="C6" s="144" t="s">
        <v>13</v>
      </c>
      <c r="D6" s="144" t="s">
        <v>14</v>
      </c>
      <c r="E6" s="144" t="s">
        <v>15</v>
      </c>
      <c r="F6" s="144" t="s">
        <v>13</v>
      </c>
      <c r="G6" s="144" t="s">
        <v>14</v>
      </c>
      <c r="H6" s="144" t="s">
        <v>15</v>
      </c>
      <c r="I6" s="144" t="s">
        <v>13</v>
      </c>
      <c r="J6" s="144" t="s">
        <v>14</v>
      </c>
      <c r="K6" s="144" t="s">
        <v>15</v>
      </c>
      <c r="L6" s="144" t="s">
        <v>13</v>
      </c>
      <c r="M6" s="144" t="s">
        <v>14</v>
      </c>
      <c r="N6" s="144" t="s">
        <v>15</v>
      </c>
      <c r="O6" s="136"/>
      <c r="P6" s="22"/>
      <c r="Q6" s="22"/>
      <c r="R6" s="145" t="s">
        <v>13</v>
      </c>
      <c r="S6" s="145" t="s">
        <v>14</v>
      </c>
      <c r="T6" s="145" t="s">
        <v>15</v>
      </c>
      <c r="U6" s="146" t="s">
        <v>100</v>
      </c>
      <c r="V6" s="136"/>
      <c r="W6" s="136"/>
      <c r="X6" s="136"/>
      <c r="Y6" s="136"/>
    </row>
    <row r="7" ht="21.0" customHeight="1">
      <c r="A7" s="147">
        <v>1.0</v>
      </c>
      <c r="B7" s="148" t="s">
        <v>17</v>
      </c>
      <c r="C7" s="149"/>
      <c r="D7" s="149"/>
      <c r="E7" s="149"/>
      <c r="F7" s="150"/>
      <c r="G7" s="150"/>
      <c r="H7" s="149"/>
      <c r="I7" s="151">
        <v>37000.0</v>
      </c>
      <c r="J7" s="152">
        <f>37000</f>
        <v>37000</v>
      </c>
      <c r="K7" s="153">
        <f>I7-J7</f>
        <v>0</v>
      </c>
      <c r="L7" s="154">
        <v>10000.0</v>
      </c>
      <c r="M7" s="154">
        <f>5000+4800</f>
        <v>9800</v>
      </c>
      <c r="N7" s="155">
        <f t="shared" ref="N7:N25" si="1">L7-M7</f>
        <v>200</v>
      </c>
      <c r="O7" s="136"/>
      <c r="P7" s="156"/>
      <c r="Q7" s="21"/>
      <c r="R7" s="157"/>
      <c r="S7" s="20"/>
      <c r="T7" s="21"/>
      <c r="U7" s="158"/>
      <c r="V7" s="136"/>
      <c r="W7" s="136"/>
      <c r="X7" s="136"/>
      <c r="Y7" s="136"/>
    </row>
    <row r="8" ht="21.0" customHeight="1">
      <c r="A8" s="147">
        <v>2.0</v>
      </c>
      <c r="B8" s="159" t="s">
        <v>18</v>
      </c>
      <c r="C8" s="160">
        <v>68100.0</v>
      </c>
      <c r="D8" s="149">
        <f>27000+2100+39000</f>
        <v>68100</v>
      </c>
      <c r="E8" s="153">
        <f t="shared" ref="E8:E25" si="2">C8-D8</f>
        <v>0</v>
      </c>
      <c r="F8" s="154">
        <v>24500.0</v>
      </c>
      <c r="G8" s="154">
        <f>8575+15925</f>
        <v>24500</v>
      </c>
      <c r="H8" s="153">
        <f t="shared" ref="H8:H25" si="3">F8-G8</f>
        <v>0</v>
      </c>
      <c r="I8" s="152"/>
      <c r="J8" s="152"/>
      <c r="K8" s="149"/>
      <c r="L8" s="154">
        <v>5000.0</v>
      </c>
      <c r="M8" s="150">
        <f t="shared" ref="M8:M9" si="4">2500+2500</f>
        <v>5000</v>
      </c>
      <c r="N8" s="153">
        <f t="shared" si="1"/>
        <v>0</v>
      </c>
      <c r="O8" s="136"/>
      <c r="P8" s="161">
        <v>1.0</v>
      </c>
      <c r="Q8" s="148" t="s">
        <v>17</v>
      </c>
      <c r="R8" s="162">
        <f t="shared" ref="R8:R26" si="5">SUM(C7,F7,I7,L7,C36,F36,I36,L36,C65,F65,I65,L65,C94,F94,I94,L94,C123,F123,I123,L123,C152,F152,I152,L152,C181,F181,I181,L181,C210,F210,I210,L210,C240,F240,I240,L240,C269,F269,I269,L269,C298,F298,I298,L298,C328,F328,I328,L328,C358,F358,I358,L358,C386,F386,I386,L386,C416,F416,I416,L416,C445,F445,I445,L445,C474,F474,I474,L474,C504,F504,I504,L504,C534,F534,I534,L534,)</f>
        <v>1941060</v>
      </c>
      <c r="S8" s="163">
        <f>SUM(D7,G7,J7,M7,D36,G36,J36,M36,D65,G65,J65,M65,D94,G94,J94,M94,D123,G123,J123,M123,D152,G152,J152,M152,D181,G181,J181,M181,D210,G210,J210,M210,D240,G240,J240,M240,D269,G269,J269,M268:M269,D298,G298,J298,M298,D328,G328,J328,M328,D358,G358,J358,M358,D386,G386,J386,M386,D416,G416,J416,M416,D445,G445,J445,M445,D474,G474,J474,M474,D504,G504,J504,M504,D534,G534,J534,M534,)</f>
        <v>1935675.6</v>
      </c>
      <c r="T8" s="164">
        <f>SUM(E7,H7,K7,N7,E36,H36,K36,N36,E65,H65,K65,N65,E94,H94,K94,N94,E123,H123,K123,N123,E152,H152,K152,N152,E181,H181,K181,N181,E210,H210,K210,N210,E240,H240,K240,N240,E269,H269,K269,N269,E298,H298,K298,N298,E328,H328,K328,N328,E358,H358,K358,N358,E386,H386,K386,N386,E416,H416,K416,N416,E445,H445,K445,N445,E474,H474,K474,N474,E504,H504,K504,N504,E534,H534,K534,N534,)</f>
        <v>5384.4</v>
      </c>
      <c r="U8" s="165">
        <f t="shared" ref="U8:U26" si="7">S8*100/R8</f>
        <v>99.72260517</v>
      </c>
      <c r="W8" s="136"/>
      <c r="X8" s="136"/>
      <c r="Y8" s="136"/>
    </row>
    <row r="9" ht="21.0" customHeight="1">
      <c r="A9" s="147">
        <v>3.0</v>
      </c>
      <c r="B9" s="148" t="s">
        <v>19</v>
      </c>
      <c r="C9" s="160">
        <v>68100.0</v>
      </c>
      <c r="D9" s="160">
        <f>2100+39000+27000</f>
        <v>68100</v>
      </c>
      <c r="E9" s="153">
        <f t="shared" si="2"/>
        <v>0</v>
      </c>
      <c r="F9" s="154">
        <v>20400.0</v>
      </c>
      <c r="G9" s="154">
        <f>7140+13260</f>
        <v>20400</v>
      </c>
      <c r="H9" s="153">
        <f t="shared" si="3"/>
        <v>0</v>
      </c>
      <c r="I9" s="152"/>
      <c r="J9" s="152"/>
      <c r="K9" s="149"/>
      <c r="L9" s="154">
        <v>5000.0</v>
      </c>
      <c r="M9" s="154">
        <f t="shared" si="4"/>
        <v>5000</v>
      </c>
      <c r="N9" s="153">
        <f t="shared" si="1"/>
        <v>0</v>
      </c>
      <c r="O9" s="136"/>
      <c r="P9" s="161">
        <v>2.0</v>
      </c>
      <c r="Q9" s="148" t="s">
        <v>18</v>
      </c>
      <c r="R9" s="162">
        <f t="shared" si="5"/>
        <v>1045475</v>
      </c>
      <c r="S9" s="163">
        <f t="shared" ref="S9:T9" si="6">SUM(D8,G8,J8,M8,D37,G37,J37,M37,D66,G66,J66,M66,D95,G95,J95,M95,D124,G124,J124,M124,D153,G153,J153,M153,D182,G182,J182,M182,D211,G211,J211,M211,D241,G241,J241,M241,D270,G270,J270,M270,D299,G299,J299,M299,D329,G329,J329,M329,D359,G359,J359,M359,D387,G387,J387,M387,D417,G417,J417,M417,D446,G446,J446,M446,D475,G475,J475,M475,D505,G505,J505,M505,D535,G535,J535,M535,)</f>
        <v>1045475</v>
      </c>
      <c r="T9" s="164">
        <f t="shared" si="6"/>
        <v>0</v>
      </c>
      <c r="U9" s="165">
        <f t="shared" si="7"/>
        <v>100</v>
      </c>
      <c r="V9" s="166" t="s">
        <v>101</v>
      </c>
      <c r="W9" s="136"/>
      <c r="X9" s="136"/>
      <c r="Y9" s="136"/>
    </row>
    <row r="10" ht="21.0" customHeight="1">
      <c r="A10" s="147">
        <v>4.0</v>
      </c>
      <c r="B10" s="148" t="s">
        <v>20</v>
      </c>
      <c r="C10" s="160">
        <v>68100.0</v>
      </c>
      <c r="D10" s="160">
        <f>27000+39000+2100</f>
        <v>68100</v>
      </c>
      <c r="E10" s="153">
        <f t="shared" si="2"/>
        <v>0</v>
      </c>
      <c r="F10" s="154">
        <v>19500.0</v>
      </c>
      <c r="G10" s="154">
        <f>6825+12675</f>
        <v>19500</v>
      </c>
      <c r="H10" s="153">
        <f t="shared" si="3"/>
        <v>0</v>
      </c>
      <c r="I10" s="152"/>
      <c r="J10" s="152"/>
      <c r="K10" s="149"/>
      <c r="L10" s="154">
        <v>5000.0</v>
      </c>
      <c r="M10" s="154">
        <v>5000.0</v>
      </c>
      <c r="N10" s="153">
        <f t="shared" si="1"/>
        <v>0</v>
      </c>
      <c r="O10" s="136"/>
      <c r="P10" s="161">
        <v>3.0</v>
      </c>
      <c r="Q10" s="148" t="s">
        <v>19</v>
      </c>
      <c r="R10" s="162">
        <f t="shared" si="5"/>
        <v>792450</v>
      </c>
      <c r="S10" s="163">
        <f t="shared" ref="S10:S26" si="8">SUM(D9,G9,J9,M9,D38,G38,J38,M38,D67,G67,J67,M67,D96,G96,J96,M96,D125,G125,J125,M125,D154,G154,J154,M154,D183,G183,J183,M183,D212,G212,J212,M212,D242,G242,J242,M242,D271,G271,J271,M270:M271,D300,G300,J300,M300,D330,G330,J330,M330,D360,G360,J360,M360,D388,G388,J388,M388,D418,G418,J418,M418,D447,G447,J447,M447,D476,G476,J476,M476,D506,G506,J506,M506,D536,G536,J536,M536,)</f>
        <v>792450</v>
      </c>
      <c r="T10" s="164">
        <f t="shared" ref="T10:T26" si="9">SUM(E9,H9,K9,N9,E38,H38,K38,N38,E67,H67,K67,N67,E96,H96,K96,N96,E125,H125,K125,N125,E154,H154,K154,N154,E183,H183,K183,N183,E212,H212,K212,N212,E242,H242,K242,N242,E271,H271,K271,N271,E300,H300,K300,N300,E330,H330,K330,N330,E360,H360,K360,N360,E388,H388,K388,N388,E418,H418,K418,N418,E447,H447,K447,N447,E476,H476,K476,N476,E506,H506,K506,N506,E536,H536,K536,N536,)</f>
        <v>0</v>
      </c>
      <c r="U10" s="165">
        <f t="shared" si="7"/>
        <v>100</v>
      </c>
      <c r="V10" s="167"/>
      <c r="W10" s="136"/>
      <c r="X10" s="136"/>
      <c r="Y10" s="136"/>
    </row>
    <row r="11" ht="21.0" customHeight="1">
      <c r="A11" s="147">
        <v>5.0</v>
      </c>
      <c r="B11" s="148" t="s">
        <v>21</v>
      </c>
      <c r="C11" s="160">
        <v>68100.0</v>
      </c>
      <c r="D11" s="160">
        <f>27000+2100+39000</f>
        <v>68100</v>
      </c>
      <c r="E11" s="153">
        <f t="shared" si="2"/>
        <v>0</v>
      </c>
      <c r="F11" s="154">
        <v>14300.0</v>
      </c>
      <c r="G11" s="154">
        <f>5005+9295</f>
        <v>14300</v>
      </c>
      <c r="H11" s="153">
        <f t="shared" si="3"/>
        <v>0</v>
      </c>
      <c r="I11" s="152"/>
      <c r="J11" s="152"/>
      <c r="K11" s="149"/>
      <c r="L11" s="154">
        <v>5000.0</v>
      </c>
      <c r="M11" s="154">
        <f t="shared" ref="M11:M13" si="10">2500+2500</f>
        <v>5000</v>
      </c>
      <c r="N11" s="153">
        <f t="shared" si="1"/>
        <v>0</v>
      </c>
      <c r="O11" s="136"/>
      <c r="P11" s="161">
        <v>4.0</v>
      </c>
      <c r="Q11" s="148" t="s">
        <v>20</v>
      </c>
      <c r="R11" s="162">
        <f t="shared" si="5"/>
        <v>706100</v>
      </c>
      <c r="S11" s="163">
        <f t="shared" si="8"/>
        <v>706100</v>
      </c>
      <c r="T11" s="164">
        <f t="shared" si="9"/>
        <v>0</v>
      </c>
      <c r="U11" s="165">
        <f t="shared" si="7"/>
        <v>100</v>
      </c>
      <c r="V11" s="166" t="s">
        <v>102</v>
      </c>
      <c r="W11" s="136"/>
      <c r="X11" s="136"/>
      <c r="Y11" s="136"/>
    </row>
    <row r="12" ht="21.0" customHeight="1">
      <c r="A12" s="147">
        <v>6.0</v>
      </c>
      <c r="B12" s="148" t="s">
        <v>22</v>
      </c>
      <c r="C12" s="160">
        <v>68100.0</v>
      </c>
      <c r="D12" s="149">
        <f t="shared" ref="D12:D13" si="11">27000+39000+2100</f>
        <v>68100</v>
      </c>
      <c r="E12" s="153">
        <f t="shared" si="2"/>
        <v>0</v>
      </c>
      <c r="F12" s="154">
        <v>9800.0</v>
      </c>
      <c r="G12" s="154">
        <f>6370+3430</f>
        <v>9800</v>
      </c>
      <c r="H12" s="153">
        <f t="shared" si="3"/>
        <v>0</v>
      </c>
      <c r="I12" s="152"/>
      <c r="J12" s="152"/>
      <c r="K12" s="149"/>
      <c r="L12" s="154">
        <v>5000.0</v>
      </c>
      <c r="M12" s="150">
        <f t="shared" si="10"/>
        <v>5000</v>
      </c>
      <c r="N12" s="153">
        <f t="shared" si="1"/>
        <v>0</v>
      </c>
      <c r="O12" s="136"/>
      <c r="P12" s="161">
        <v>5.0</v>
      </c>
      <c r="Q12" s="148" t="s">
        <v>21</v>
      </c>
      <c r="R12" s="162">
        <f t="shared" si="5"/>
        <v>604850</v>
      </c>
      <c r="S12" s="163">
        <f t="shared" si="8"/>
        <v>604850</v>
      </c>
      <c r="T12" s="164">
        <f t="shared" si="9"/>
        <v>0</v>
      </c>
      <c r="U12" s="165">
        <f t="shared" si="7"/>
        <v>100</v>
      </c>
      <c r="V12" s="166" t="s">
        <v>102</v>
      </c>
      <c r="W12" s="136"/>
      <c r="X12" s="136"/>
      <c r="Y12" s="136"/>
    </row>
    <row r="13" ht="20.25" customHeight="1">
      <c r="A13" s="147">
        <v>7.0</v>
      </c>
      <c r="B13" s="148" t="s">
        <v>23</v>
      </c>
      <c r="C13" s="160">
        <v>68100.0</v>
      </c>
      <c r="D13" s="160">
        <f t="shared" si="11"/>
        <v>68100</v>
      </c>
      <c r="E13" s="153">
        <f t="shared" si="2"/>
        <v>0</v>
      </c>
      <c r="F13" s="154">
        <v>10400.0</v>
      </c>
      <c r="G13" s="154">
        <f>3640+6760</f>
        <v>10400</v>
      </c>
      <c r="H13" s="153">
        <f t="shared" si="3"/>
        <v>0</v>
      </c>
      <c r="I13" s="152"/>
      <c r="J13" s="152"/>
      <c r="K13" s="149"/>
      <c r="L13" s="154">
        <v>5000.0</v>
      </c>
      <c r="M13" s="154">
        <f t="shared" si="10"/>
        <v>5000</v>
      </c>
      <c r="N13" s="153">
        <f t="shared" si="1"/>
        <v>0</v>
      </c>
      <c r="O13" s="136"/>
      <c r="P13" s="161">
        <v>6.0</v>
      </c>
      <c r="Q13" s="148" t="s">
        <v>22</v>
      </c>
      <c r="R13" s="162">
        <f t="shared" si="5"/>
        <v>454750</v>
      </c>
      <c r="S13" s="163">
        <f t="shared" si="8"/>
        <v>454750</v>
      </c>
      <c r="T13" s="164">
        <f t="shared" si="9"/>
        <v>0</v>
      </c>
      <c r="U13" s="165">
        <f t="shared" si="7"/>
        <v>100</v>
      </c>
      <c r="V13" s="166" t="s">
        <v>103</v>
      </c>
      <c r="W13" s="136"/>
      <c r="X13" s="136"/>
      <c r="Y13" s="136"/>
    </row>
    <row r="14" ht="21.0" customHeight="1">
      <c r="A14" s="147">
        <v>8.0</v>
      </c>
      <c r="B14" s="148" t="s">
        <v>24</v>
      </c>
      <c r="C14" s="160">
        <v>68100.0</v>
      </c>
      <c r="D14" s="149">
        <f>39000+27000+2100</f>
        <v>68100</v>
      </c>
      <c r="E14" s="153">
        <f t="shared" si="2"/>
        <v>0</v>
      </c>
      <c r="F14" s="154">
        <v>7500.0</v>
      </c>
      <c r="G14" s="154">
        <f>2625+4875</f>
        <v>7500</v>
      </c>
      <c r="H14" s="153">
        <f t="shared" si="3"/>
        <v>0</v>
      </c>
      <c r="I14" s="152"/>
      <c r="J14" s="152"/>
      <c r="K14" s="149"/>
      <c r="L14" s="154">
        <v>5000.0</v>
      </c>
      <c r="M14" s="154">
        <v>5000.0</v>
      </c>
      <c r="N14" s="153">
        <f t="shared" si="1"/>
        <v>0</v>
      </c>
      <c r="O14" s="136"/>
      <c r="P14" s="161">
        <v>7.0</v>
      </c>
      <c r="Q14" s="148" t="s">
        <v>23</v>
      </c>
      <c r="R14" s="162">
        <f t="shared" si="5"/>
        <v>579050</v>
      </c>
      <c r="S14" s="163">
        <f t="shared" si="8"/>
        <v>579050</v>
      </c>
      <c r="T14" s="164">
        <f t="shared" si="9"/>
        <v>0</v>
      </c>
      <c r="U14" s="165">
        <f t="shared" si="7"/>
        <v>100</v>
      </c>
      <c r="V14" s="166" t="s">
        <v>104</v>
      </c>
      <c r="W14" s="136"/>
      <c r="X14" s="136"/>
      <c r="Y14" s="136"/>
    </row>
    <row r="15" ht="21.0" customHeight="1">
      <c r="A15" s="147">
        <v>9.0</v>
      </c>
      <c r="B15" s="148" t="s">
        <v>25</v>
      </c>
      <c r="C15" s="160">
        <v>68100.0</v>
      </c>
      <c r="D15" s="149">
        <f t="shared" ref="D15:D16" si="12">27000+2100+39000</f>
        <v>68100</v>
      </c>
      <c r="E15" s="153">
        <f t="shared" si="2"/>
        <v>0</v>
      </c>
      <c r="F15" s="154">
        <v>7800.0</v>
      </c>
      <c r="G15" s="154">
        <f>2730+5070</f>
        <v>7800</v>
      </c>
      <c r="H15" s="153">
        <f t="shared" si="3"/>
        <v>0</v>
      </c>
      <c r="I15" s="152"/>
      <c r="J15" s="152"/>
      <c r="K15" s="149"/>
      <c r="L15" s="154">
        <v>5000.0</v>
      </c>
      <c r="M15" s="154">
        <f>2500+2500</f>
        <v>5000</v>
      </c>
      <c r="N15" s="153">
        <f t="shared" si="1"/>
        <v>0</v>
      </c>
      <c r="O15" s="136"/>
      <c r="P15" s="161">
        <v>8.0</v>
      </c>
      <c r="Q15" s="148" t="s">
        <v>24</v>
      </c>
      <c r="R15" s="162">
        <f t="shared" si="5"/>
        <v>415375</v>
      </c>
      <c r="S15" s="163">
        <f t="shared" si="8"/>
        <v>415375</v>
      </c>
      <c r="T15" s="164">
        <f t="shared" si="9"/>
        <v>0</v>
      </c>
      <c r="U15" s="165">
        <f t="shared" si="7"/>
        <v>100</v>
      </c>
      <c r="W15" s="136"/>
      <c r="X15" s="136"/>
      <c r="Y15" s="136"/>
    </row>
    <row r="16" ht="21.0" customHeight="1">
      <c r="A16" s="147">
        <v>10.0</v>
      </c>
      <c r="B16" s="148" t="s">
        <v>26</v>
      </c>
      <c r="C16" s="160">
        <v>68100.0</v>
      </c>
      <c r="D16" s="149">
        <f t="shared" si="12"/>
        <v>68100</v>
      </c>
      <c r="E16" s="153">
        <f t="shared" si="2"/>
        <v>0</v>
      </c>
      <c r="F16" s="154">
        <v>8000.0</v>
      </c>
      <c r="G16" s="150">
        <f>2800+5200</f>
        <v>8000</v>
      </c>
      <c r="H16" s="153">
        <f t="shared" si="3"/>
        <v>0</v>
      </c>
      <c r="I16" s="152"/>
      <c r="J16" s="152"/>
      <c r="K16" s="149"/>
      <c r="L16" s="154">
        <v>5000.0</v>
      </c>
      <c r="M16" s="154">
        <f>2500+2500</f>
        <v>5000</v>
      </c>
      <c r="N16" s="168">
        <f t="shared" si="1"/>
        <v>0</v>
      </c>
      <c r="O16" s="136"/>
      <c r="P16" s="161">
        <v>9.0</v>
      </c>
      <c r="Q16" s="148" t="s">
        <v>25</v>
      </c>
      <c r="R16" s="162">
        <f t="shared" si="5"/>
        <v>442625</v>
      </c>
      <c r="S16" s="163">
        <f t="shared" si="8"/>
        <v>442625</v>
      </c>
      <c r="T16" s="164">
        <f t="shared" si="9"/>
        <v>0</v>
      </c>
      <c r="U16" s="165">
        <f t="shared" si="7"/>
        <v>100</v>
      </c>
      <c r="V16" s="166" t="s">
        <v>102</v>
      </c>
      <c r="W16" s="136"/>
      <c r="X16" s="136"/>
      <c r="Y16" s="136"/>
    </row>
    <row r="17" ht="21.0" customHeight="1">
      <c r="A17" s="147">
        <v>11.0</v>
      </c>
      <c r="B17" s="148" t="s">
        <v>27</v>
      </c>
      <c r="C17" s="160">
        <v>68100.0</v>
      </c>
      <c r="D17" s="160">
        <f t="shared" ref="D17:D18" si="13">27000+39000+2100</f>
        <v>68100</v>
      </c>
      <c r="E17" s="153">
        <f t="shared" si="2"/>
        <v>0</v>
      </c>
      <c r="F17" s="154">
        <v>7200.0</v>
      </c>
      <c r="G17" s="154">
        <f>2520+4680</f>
        <v>7200</v>
      </c>
      <c r="H17" s="153">
        <f t="shared" si="3"/>
        <v>0</v>
      </c>
      <c r="I17" s="152"/>
      <c r="J17" s="152"/>
      <c r="K17" s="149"/>
      <c r="L17" s="154">
        <v>5000.0</v>
      </c>
      <c r="M17" s="150">
        <f t="shared" ref="M17:M24" si="14">2500+2500</f>
        <v>5000</v>
      </c>
      <c r="N17" s="153">
        <f t="shared" si="1"/>
        <v>0</v>
      </c>
      <c r="O17" s="136"/>
      <c r="P17" s="161">
        <v>10.0</v>
      </c>
      <c r="Q17" s="148" t="s">
        <v>26</v>
      </c>
      <c r="R17" s="162">
        <f t="shared" si="5"/>
        <v>455375</v>
      </c>
      <c r="S17" s="163">
        <f t="shared" si="8"/>
        <v>455375</v>
      </c>
      <c r="T17" s="164">
        <f t="shared" si="9"/>
        <v>0</v>
      </c>
      <c r="U17" s="165">
        <f t="shared" si="7"/>
        <v>100</v>
      </c>
      <c r="V17" s="167"/>
      <c r="W17" s="136"/>
      <c r="X17" s="136"/>
      <c r="Y17" s="136"/>
    </row>
    <row r="18" ht="21.0" customHeight="1">
      <c r="A18" s="147">
        <v>12.0</v>
      </c>
      <c r="B18" s="148" t="s">
        <v>28</v>
      </c>
      <c r="C18" s="160">
        <v>68100.0</v>
      </c>
      <c r="D18" s="160">
        <f t="shared" si="13"/>
        <v>68100</v>
      </c>
      <c r="E18" s="153">
        <f t="shared" si="2"/>
        <v>0</v>
      </c>
      <c r="F18" s="154">
        <v>5300.0</v>
      </c>
      <c r="G18" s="154">
        <f>1855+3445</f>
        <v>5300</v>
      </c>
      <c r="H18" s="153">
        <f t="shared" si="3"/>
        <v>0</v>
      </c>
      <c r="I18" s="152"/>
      <c r="J18" s="152"/>
      <c r="K18" s="149"/>
      <c r="L18" s="154">
        <v>5000.0</v>
      </c>
      <c r="M18" s="154">
        <f t="shared" si="14"/>
        <v>5000</v>
      </c>
      <c r="N18" s="153">
        <f t="shared" si="1"/>
        <v>0</v>
      </c>
      <c r="O18" s="136"/>
      <c r="P18" s="161">
        <v>11.0</v>
      </c>
      <c r="Q18" s="148" t="s">
        <v>27</v>
      </c>
      <c r="R18" s="162">
        <f t="shared" si="5"/>
        <v>358850</v>
      </c>
      <c r="S18" s="163">
        <f t="shared" si="8"/>
        <v>358850</v>
      </c>
      <c r="T18" s="164">
        <f t="shared" si="9"/>
        <v>0</v>
      </c>
      <c r="U18" s="165">
        <f t="shared" si="7"/>
        <v>100</v>
      </c>
      <c r="V18" s="166" t="s">
        <v>103</v>
      </c>
      <c r="W18" s="136"/>
      <c r="X18" s="136"/>
      <c r="Y18" s="136"/>
    </row>
    <row r="19" ht="21.75" customHeight="1">
      <c r="A19" s="147">
        <v>13.0</v>
      </c>
      <c r="B19" s="148" t="s">
        <v>29</v>
      </c>
      <c r="C19" s="160">
        <v>68100.0</v>
      </c>
      <c r="D19" s="160">
        <f>25800+39000+2100</f>
        <v>66900</v>
      </c>
      <c r="E19" s="169">
        <f t="shared" si="2"/>
        <v>1200</v>
      </c>
      <c r="F19" s="154">
        <v>2900.0</v>
      </c>
      <c r="G19" s="150">
        <f>1015+1885</f>
        <v>2900</v>
      </c>
      <c r="H19" s="153">
        <f t="shared" si="3"/>
        <v>0</v>
      </c>
      <c r="I19" s="152"/>
      <c r="J19" s="152"/>
      <c r="K19" s="149"/>
      <c r="L19" s="154">
        <v>5000.0</v>
      </c>
      <c r="M19" s="154">
        <f t="shared" si="14"/>
        <v>5000</v>
      </c>
      <c r="N19" s="153">
        <f t="shared" si="1"/>
        <v>0</v>
      </c>
      <c r="O19" s="136"/>
      <c r="P19" s="161">
        <v>12.0</v>
      </c>
      <c r="Q19" s="148" t="s">
        <v>28</v>
      </c>
      <c r="R19" s="162">
        <f t="shared" si="5"/>
        <v>378775</v>
      </c>
      <c r="S19" s="163">
        <f t="shared" si="8"/>
        <v>378775</v>
      </c>
      <c r="T19" s="164">
        <f t="shared" si="9"/>
        <v>0</v>
      </c>
      <c r="U19" s="165">
        <f t="shared" si="7"/>
        <v>100</v>
      </c>
      <c r="V19" s="167"/>
      <c r="W19" s="136"/>
      <c r="X19" s="136"/>
      <c r="Y19" s="136"/>
    </row>
    <row r="20" ht="21.0" customHeight="1">
      <c r="A20" s="147">
        <v>14.0</v>
      </c>
      <c r="B20" s="148" t="s">
        <v>30</v>
      </c>
      <c r="C20" s="160">
        <v>68100.0</v>
      </c>
      <c r="D20" s="160">
        <f t="shared" ref="D20:D21" si="15">27000+39000+2100</f>
        <v>68100</v>
      </c>
      <c r="E20" s="153">
        <f t="shared" si="2"/>
        <v>0</v>
      </c>
      <c r="F20" s="154">
        <v>4600.0</v>
      </c>
      <c r="G20" s="154">
        <f>2990+1610</f>
        <v>4600</v>
      </c>
      <c r="H20" s="153">
        <f t="shared" si="3"/>
        <v>0</v>
      </c>
      <c r="I20" s="152"/>
      <c r="J20" s="152"/>
      <c r="K20" s="149"/>
      <c r="L20" s="154">
        <v>5000.0</v>
      </c>
      <c r="M20" s="154">
        <f t="shared" si="14"/>
        <v>5000</v>
      </c>
      <c r="N20" s="153">
        <f t="shared" si="1"/>
        <v>0</v>
      </c>
      <c r="O20" s="136"/>
      <c r="P20" s="161">
        <v>13.0</v>
      </c>
      <c r="Q20" s="148" t="s">
        <v>29</v>
      </c>
      <c r="R20" s="162">
        <f t="shared" si="5"/>
        <v>290125</v>
      </c>
      <c r="S20" s="163">
        <f t="shared" si="8"/>
        <v>278865</v>
      </c>
      <c r="T20" s="164">
        <f t="shared" si="9"/>
        <v>11260</v>
      </c>
      <c r="U20" s="165">
        <f t="shared" si="7"/>
        <v>96.11891426</v>
      </c>
      <c r="V20" s="136"/>
      <c r="W20" s="136"/>
      <c r="X20" s="136"/>
      <c r="Y20" s="136"/>
    </row>
    <row r="21" ht="21.0" customHeight="1">
      <c r="A21" s="170">
        <v>15.0</v>
      </c>
      <c r="B21" s="148" t="s">
        <v>31</v>
      </c>
      <c r="C21" s="160">
        <v>68100.0</v>
      </c>
      <c r="D21" s="160">
        <f t="shared" si="15"/>
        <v>68100</v>
      </c>
      <c r="E21" s="153">
        <f t="shared" si="2"/>
        <v>0</v>
      </c>
      <c r="F21" s="154">
        <v>6600.0</v>
      </c>
      <c r="G21" s="150">
        <f>2310+2500+1790</f>
        <v>6600</v>
      </c>
      <c r="H21" s="153">
        <f t="shared" si="3"/>
        <v>0</v>
      </c>
      <c r="I21" s="152"/>
      <c r="J21" s="152"/>
      <c r="K21" s="149"/>
      <c r="L21" s="154">
        <v>5000.0</v>
      </c>
      <c r="M21" s="154">
        <f t="shared" si="14"/>
        <v>5000</v>
      </c>
      <c r="N21" s="153">
        <f t="shared" si="1"/>
        <v>0</v>
      </c>
      <c r="O21" s="136"/>
      <c r="P21" s="161">
        <v>14.0</v>
      </c>
      <c r="Q21" s="148" t="s">
        <v>30</v>
      </c>
      <c r="R21" s="162">
        <f t="shared" si="5"/>
        <v>343275</v>
      </c>
      <c r="S21" s="163">
        <f t="shared" si="8"/>
        <v>343275</v>
      </c>
      <c r="T21" s="164">
        <f t="shared" si="9"/>
        <v>0</v>
      </c>
      <c r="U21" s="165">
        <f t="shared" si="7"/>
        <v>100</v>
      </c>
      <c r="V21" s="166" t="s">
        <v>105</v>
      </c>
      <c r="W21" s="136"/>
      <c r="X21" s="136"/>
      <c r="Y21" s="136"/>
    </row>
    <row r="22" ht="21.0" customHeight="1">
      <c r="A22" s="147">
        <v>16.0</v>
      </c>
      <c r="B22" s="148" t="s">
        <v>32</v>
      </c>
      <c r="C22" s="160">
        <v>68100.0</v>
      </c>
      <c r="D22" s="149">
        <f>2100+39000+27000</f>
        <v>68100</v>
      </c>
      <c r="E22" s="153">
        <f t="shared" si="2"/>
        <v>0</v>
      </c>
      <c r="F22" s="154">
        <v>5200.0</v>
      </c>
      <c r="G22" s="154">
        <f>1820+3380</f>
        <v>5200</v>
      </c>
      <c r="H22" s="153">
        <f t="shared" si="3"/>
        <v>0</v>
      </c>
      <c r="I22" s="152"/>
      <c r="J22" s="152"/>
      <c r="K22" s="149"/>
      <c r="L22" s="154">
        <v>5000.0</v>
      </c>
      <c r="M22" s="150">
        <f t="shared" si="14"/>
        <v>5000</v>
      </c>
      <c r="N22" s="153">
        <f t="shared" si="1"/>
        <v>0</v>
      </c>
      <c r="O22" s="136"/>
      <c r="P22" s="161">
        <v>15.0</v>
      </c>
      <c r="Q22" s="148" t="s">
        <v>31</v>
      </c>
      <c r="R22" s="162">
        <f t="shared" si="5"/>
        <v>383650</v>
      </c>
      <c r="S22" s="163">
        <f t="shared" si="8"/>
        <v>383650</v>
      </c>
      <c r="T22" s="164">
        <f t="shared" si="9"/>
        <v>0</v>
      </c>
      <c r="U22" s="165">
        <f t="shared" si="7"/>
        <v>100</v>
      </c>
      <c r="V22" s="166" t="s">
        <v>106</v>
      </c>
      <c r="W22" s="136"/>
      <c r="X22" s="136"/>
      <c r="Y22" s="136"/>
    </row>
    <row r="23" ht="21.0" customHeight="1">
      <c r="A23" s="147">
        <v>17.0</v>
      </c>
      <c r="B23" s="148" t="s">
        <v>33</v>
      </c>
      <c r="C23" s="160">
        <v>68100.0</v>
      </c>
      <c r="D23" s="160">
        <f t="shared" ref="D23:D25" si="16">27000+2100+39000</f>
        <v>68100</v>
      </c>
      <c r="E23" s="153">
        <f t="shared" si="2"/>
        <v>0</v>
      </c>
      <c r="F23" s="154">
        <v>5300.0</v>
      </c>
      <c r="G23" s="154">
        <f>1855+3445</f>
        <v>5300</v>
      </c>
      <c r="H23" s="153">
        <f t="shared" si="3"/>
        <v>0</v>
      </c>
      <c r="I23" s="152"/>
      <c r="J23" s="152"/>
      <c r="K23" s="149"/>
      <c r="L23" s="154">
        <v>5000.0</v>
      </c>
      <c r="M23" s="154">
        <f t="shared" si="14"/>
        <v>5000</v>
      </c>
      <c r="N23" s="153">
        <f t="shared" si="1"/>
        <v>0</v>
      </c>
      <c r="O23" s="136"/>
      <c r="P23" s="161">
        <v>16.0</v>
      </c>
      <c r="Q23" s="148" t="s">
        <v>32</v>
      </c>
      <c r="R23" s="162">
        <f t="shared" si="5"/>
        <v>398775</v>
      </c>
      <c r="S23" s="163">
        <f t="shared" si="8"/>
        <v>398775</v>
      </c>
      <c r="T23" s="164">
        <f t="shared" si="9"/>
        <v>0</v>
      </c>
      <c r="U23" s="165">
        <f t="shared" si="7"/>
        <v>100</v>
      </c>
      <c r="V23" s="166"/>
      <c r="W23" s="136"/>
      <c r="X23" s="136"/>
      <c r="Y23" s="136"/>
    </row>
    <row r="24" ht="21.0" customHeight="1">
      <c r="A24" s="147">
        <v>18.0</v>
      </c>
      <c r="B24" s="148" t="s">
        <v>34</v>
      </c>
      <c r="C24" s="160">
        <v>68100.0</v>
      </c>
      <c r="D24" s="160">
        <f t="shared" si="16"/>
        <v>68100</v>
      </c>
      <c r="E24" s="153">
        <f t="shared" si="2"/>
        <v>0</v>
      </c>
      <c r="F24" s="154">
        <v>6500.0</v>
      </c>
      <c r="G24" s="150">
        <f>2275+4225</f>
        <v>6500</v>
      </c>
      <c r="H24" s="153">
        <f t="shared" si="3"/>
        <v>0</v>
      </c>
      <c r="I24" s="152"/>
      <c r="J24" s="152"/>
      <c r="K24" s="149"/>
      <c r="L24" s="154">
        <v>5000.0</v>
      </c>
      <c r="M24" s="154">
        <f t="shared" si="14"/>
        <v>5000</v>
      </c>
      <c r="N24" s="153">
        <f t="shared" si="1"/>
        <v>0</v>
      </c>
      <c r="O24" s="136"/>
      <c r="P24" s="161">
        <v>17.0</v>
      </c>
      <c r="Q24" s="148" t="s">
        <v>33</v>
      </c>
      <c r="R24" s="162">
        <f t="shared" si="5"/>
        <v>360625</v>
      </c>
      <c r="S24" s="163">
        <f t="shared" si="8"/>
        <v>360625</v>
      </c>
      <c r="T24" s="164">
        <f t="shared" si="9"/>
        <v>0</v>
      </c>
      <c r="U24" s="165">
        <f t="shared" si="7"/>
        <v>100</v>
      </c>
      <c r="V24" s="166" t="s">
        <v>107</v>
      </c>
      <c r="W24" s="136"/>
      <c r="X24" s="136"/>
      <c r="Y24" s="136"/>
    </row>
    <row r="25" ht="21.0" customHeight="1">
      <c r="A25" s="147">
        <v>19.0</v>
      </c>
      <c r="B25" s="148" t="s">
        <v>35</v>
      </c>
      <c r="C25" s="160">
        <v>68100.0</v>
      </c>
      <c r="D25" s="149">
        <f t="shared" si="16"/>
        <v>68100</v>
      </c>
      <c r="E25" s="153">
        <f t="shared" si="2"/>
        <v>0</v>
      </c>
      <c r="F25" s="154">
        <v>3200.0</v>
      </c>
      <c r="G25" s="154">
        <f>1120+2080</f>
        <v>3200</v>
      </c>
      <c r="H25" s="153">
        <f t="shared" si="3"/>
        <v>0</v>
      </c>
      <c r="I25" s="152"/>
      <c r="J25" s="152"/>
      <c r="K25" s="149"/>
      <c r="L25" s="154">
        <v>5000.0</v>
      </c>
      <c r="M25" s="154">
        <v>5000.0</v>
      </c>
      <c r="N25" s="153">
        <f t="shared" si="1"/>
        <v>0</v>
      </c>
      <c r="O25" s="136"/>
      <c r="P25" s="161">
        <v>18.0</v>
      </c>
      <c r="Q25" s="148" t="s">
        <v>34</v>
      </c>
      <c r="R25" s="162">
        <f t="shared" si="5"/>
        <v>358200</v>
      </c>
      <c r="S25" s="163">
        <f t="shared" si="8"/>
        <v>358200</v>
      </c>
      <c r="T25" s="164">
        <f t="shared" si="9"/>
        <v>0</v>
      </c>
      <c r="U25" s="165">
        <f t="shared" si="7"/>
        <v>100</v>
      </c>
      <c r="V25" s="166" t="s">
        <v>108</v>
      </c>
      <c r="W25" s="136"/>
      <c r="X25" s="136"/>
      <c r="Y25" s="136"/>
    </row>
    <row r="26" ht="21.0" customHeight="1">
      <c r="A26" s="171" t="s">
        <v>36</v>
      </c>
      <c r="B26" s="21"/>
      <c r="C26" s="172">
        <f t="shared" ref="C26:H26" si="17">SUM(C8:C25)</f>
        <v>1225800</v>
      </c>
      <c r="D26" s="172">
        <f t="shared" si="17"/>
        <v>1224600</v>
      </c>
      <c r="E26" s="173">
        <f t="shared" si="17"/>
        <v>1200</v>
      </c>
      <c r="F26" s="174">
        <f t="shared" si="17"/>
        <v>169000</v>
      </c>
      <c r="G26" s="172">
        <f t="shared" si="17"/>
        <v>169000</v>
      </c>
      <c r="H26" s="173">
        <f t="shared" si="17"/>
        <v>0</v>
      </c>
      <c r="I26" s="174">
        <f t="shared" ref="I26:K26" si="18">SUM(I1:I25)</f>
        <v>37000</v>
      </c>
      <c r="J26" s="174">
        <f t="shared" si="18"/>
        <v>37000</v>
      </c>
      <c r="K26" s="174">
        <f t="shared" si="18"/>
        <v>0</v>
      </c>
      <c r="L26" s="175">
        <f t="shared" ref="L26:N26" si="19">SUM(L7:L25)</f>
        <v>100000</v>
      </c>
      <c r="M26" s="172">
        <f t="shared" si="19"/>
        <v>99800</v>
      </c>
      <c r="N26" s="173">
        <f t="shared" si="19"/>
        <v>200</v>
      </c>
      <c r="O26" s="136"/>
      <c r="P26" s="161">
        <v>19.0</v>
      </c>
      <c r="Q26" s="148" t="s">
        <v>35</v>
      </c>
      <c r="R26" s="162">
        <f t="shared" si="5"/>
        <v>1177425</v>
      </c>
      <c r="S26" s="163">
        <f t="shared" si="8"/>
        <v>1177425</v>
      </c>
      <c r="T26" s="164">
        <f t="shared" si="9"/>
        <v>0</v>
      </c>
      <c r="U26" s="165">
        <f t="shared" si="7"/>
        <v>100</v>
      </c>
      <c r="V26" s="167"/>
      <c r="W26" s="136"/>
      <c r="X26" s="136"/>
      <c r="Y26" s="136"/>
    </row>
    <row r="27" ht="21.0" customHeight="1">
      <c r="A27" s="176"/>
      <c r="B27" s="176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36"/>
      <c r="P27" s="136"/>
      <c r="Q27" s="166" t="s">
        <v>36</v>
      </c>
      <c r="R27" s="178">
        <f t="shared" ref="R27:T27" si="20">SUM(R8:R26)</f>
        <v>11486810</v>
      </c>
      <c r="S27" s="163">
        <f t="shared" si="20"/>
        <v>11470165.6</v>
      </c>
      <c r="T27" s="164">
        <f t="shared" si="20"/>
        <v>16644.4</v>
      </c>
      <c r="U27" s="136"/>
      <c r="V27" s="136"/>
      <c r="W27" s="136"/>
      <c r="X27" s="136"/>
      <c r="Y27" s="136"/>
    </row>
    <row r="28" ht="21.0" customHeight="1">
      <c r="A28" s="176"/>
      <c r="B28" s="176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36"/>
      <c r="P28" s="136"/>
      <c r="Q28" s="136"/>
      <c r="R28" s="136"/>
      <c r="S28" s="136"/>
      <c r="T28" s="136"/>
      <c r="U28" s="166" t="s">
        <v>109</v>
      </c>
      <c r="V28" s="136"/>
      <c r="W28" s="136"/>
      <c r="X28" s="136"/>
      <c r="Y28" s="136"/>
    </row>
    <row r="29" ht="21.0" customHeight="1">
      <c r="A29" s="176"/>
      <c r="B29" s="176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</row>
    <row r="30" ht="21.0" customHeight="1">
      <c r="A30" s="131" t="s">
        <v>91</v>
      </c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</row>
    <row r="31" ht="21.0" customHeight="1">
      <c r="A31" s="131" t="s">
        <v>92</v>
      </c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</row>
    <row r="32" ht="21.0" customHeight="1">
      <c r="A32" s="133" t="s">
        <v>4</v>
      </c>
      <c r="B32" s="133" t="s">
        <v>5</v>
      </c>
      <c r="C32" s="134" t="s">
        <v>110</v>
      </c>
      <c r="D32" s="7"/>
      <c r="E32" s="8"/>
      <c r="F32" s="179" t="s">
        <v>111</v>
      </c>
      <c r="G32" s="180"/>
      <c r="H32" s="180"/>
      <c r="I32" s="181" t="s">
        <v>112</v>
      </c>
      <c r="J32" s="7"/>
      <c r="K32" s="8"/>
      <c r="L32" s="181" t="s">
        <v>112</v>
      </c>
      <c r="M32" s="7"/>
      <c r="N32" s="8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</row>
    <row r="33" ht="27.0" customHeight="1">
      <c r="A33" s="12"/>
      <c r="B33" s="12"/>
      <c r="E33" s="13"/>
      <c r="F33" s="182" t="s">
        <v>113</v>
      </c>
      <c r="I33" s="183"/>
      <c r="K33" s="13"/>
      <c r="L33" s="183"/>
      <c r="N33" s="13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</row>
    <row r="34" ht="21.0" customHeight="1">
      <c r="A34" s="12"/>
      <c r="B34" s="12"/>
      <c r="C34" s="139" t="s">
        <v>99</v>
      </c>
      <c r="D34" s="7"/>
      <c r="E34" s="8"/>
      <c r="F34" s="139" t="s">
        <v>99</v>
      </c>
      <c r="G34" s="7"/>
      <c r="H34" s="8"/>
      <c r="I34" s="142" t="s">
        <v>99</v>
      </c>
      <c r="J34" s="15"/>
      <c r="K34" s="16"/>
      <c r="L34" s="142" t="s">
        <v>114</v>
      </c>
      <c r="M34" s="15"/>
      <c r="N34" s="1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</row>
    <row r="35" ht="21.0" customHeight="1">
      <c r="A35" s="22"/>
      <c r="B35" s="22"/>
      <c r="C35" s="144" t="s">
        <v>13</v>
      </c>
      <c r="D35" s="144" t="s">
        <v>14</v>
      </c>
      <c r="E35" s="144" t="s">
        <v>15</v>
      </c>
      <c r="F35" s="144" t="s">
        <v>13</v>
      </c>
      <c r="G35" s="144" t="s">
        <v>14</v>
      </c>
      <c r="H35" s="144" t="s">
        <v>15</v>
      </c>
      <c r="I35" s="184" t="s">
        <v>13</v>
      </c>
      <c r="J35" s="144" t="s">
        <v>14</v>
      </c>
      <c r="K35" s="144" t="s">
        <v>15</v>
      </c>
      <c r="L35" s="184" t="s">
        <v>13</v>
      </c>
      <c r="M35" s="144" t="s">
        <v>14</v>
      </c>
      <c r="N35" s="144" t="s">
        <v>15</v>
      </c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</row>
    <row r="36" ht="21.0" customHeight="1">
      <c r="A36" s="147">
        <v>1.0</v>
      </c>
      <c r="B36" s="148" t="s">
        <v>17</v>
      </c>
      <c r="C36" s="149"/>
      <c r="D36" s="149"/>
      <c r="E36" s="149"/>
      <c r="F36" s="154"/>
      <c r="G36" s="154"/>
      <c r="H36" s="149"/>
      <c r="I36" s="154">
        <v>2100.0</v>
      </c>
      <c r="J36" s="154">
        <v>2100.0</v>
      </c>
      <c r="K36" s="153">
        <f t="shared" ref="K36:K54" si="21">I36-J36</f>
        <v>0</v>
      </c>
      <c r="L36" s="154">
        <v>2100.0</v>
      </c>
      <c r="M36" s="154">
        <v>2100.0</v>
      </c>
      <c r="N36" s="153">
        <f t="shared" ref="N36:N54" si="22">L36-M36</f>
        <v>0</v>
      </c>
      <c r="O36" s="136"/>
      <c r="P36" s="136"/>
      <c r="Q36" s="136"/>
      <c r="R36" s="185"/>
      <c r="S36" s="136"/>
      <c r="T36" s="136"/>
      <c r="U36" s="136"/>
      <c r="V36" s="136"/>
      <c r="W36" s="136"/>
      <c r="X36" s="136"/>
      <c r="Y36" s="136"/>
    </row>
    <row r="37" ht="21.0" customHeight="1">
      <c r="A37" s="147">
        <v>2.0</v>
      </c>
      <c r="B37" s="159" t="s">
        <v>18</v>
      </c>
      <c r="C37" s="160">
        <v>502025.0</v>
      </c>
      <c r="D37" s="160">
        <v>502025.0</v>
      </c>
      <c r="E37" s="153">
        <f t="shared" ref="E37:E41" si="23">C37-D37</f>
        <v>0</v>
      </c>
      <c r="F37" s="154">
        <v>8800.0</v>
      </c>
      <c r="G37" s="154">
        <f>6700+1900+200</f>
        <v>8800</v>
      </c>
      <c r="H37" s="153">
        <f t="shared" ref="H37:H54" si="24">F37-G37</f>
        <v>0</v>
      </c>
      <c r="I37" s="186">
        <v>2800.0</v>
      </c>
      <c r="J37" s="154">
        <v>2800.0</v>
      </c>
      <c r="K37" s="153">
        <f t="shared" si="21"/>
        <v>0</v>
      </c>
      <c r="L37" s="186">
        <v>2800.0</v>
      </c>
      <c r="M37" s="154">
        <v>2800.0</v>
      </c>
      <c r="N37" s="153">
        <f t="shared" si="22"/>
        <v>0</v>
      </c>
      <c r="O37" s="136"/>
      <c r="P37" s="136"/>
      <c r="Q37" s="136"/>
      <c r="R37" s="185"/>
      <c r="S37" s="136"/>
      <c r="T37" s="136"/>
      <c r="U37" s="136"/>
      <c r="V37" s="136"/>
      <c r="W37" s="136"/>
      <c r="X37" s="136"/>
      <c r="Y37" s="136"/>
    </row>
    <row r="38" ht="21.0" customHeight="1">
      <c r="A38" s="147">
        <v>3.0</v>
      </c>
      <c r="B38" s="148" t="s">
        <v>19</v>
      </c>
      <c r="C38" s="160">
        <v>389000.0</v>
      </c>
      <c r="D38" s="160">
        <v>389000.0</v>
      </c>
      <c r="E38" s="153">
        <f t="shared" si="23"/>
        <v>0</v>
      </c>
      <c r="F38" s="154">
        <v>8800.0</v>
      </c>
      <c r="G38" s="154">
        <f>1900+200+6700</f>
        <v>8800</v>
      </c>
      <c r="H38" s="153">
        <f t="shared" si="24"/>
        <v>0</v>
      </c>
      <c r="I38" s="186">
        <v>900.0</v>
      </c>
      <c r="J38" s="154">
        <v>900.0</v>
      </c>
      <c r="K38" s="153">
        <f t="shared" si="21"/>
        <v>0</v>
      </c>
      <c r="L38" s="186">
        <v>900.0</v>
      </c>
      <c r="M38" s="154">
        <v>900.0</v>
      </c>
      <c r="N38" s="153">
        <f t="shared" si="22"/>
        <v>0</v>
      </c>
      <c r="O38" s="136"/>
      <c r="P38" s="136"/>
      <c r="Q38" s="136"/>
      <c r="R38" s="185"/>
      <c r="S38" s="136"/>
      <c r="T38" s="136"/>
      <c r="U38" s="136"/>
      <c r="V38" s="136"/>
      <c r="W38" s="136"/>
      <c r="X38" s="136"/>
      <c r="Y38" s="136"/>
    </row>
    <row r="39" ht="21.0" customHeight="1">
      <c r="A39" s="147">
        <v>4.0</v>
      </c>
      <c r="B39" s="148" t="s">
        <v>20</v>
      </c>
      <c r="C39" s="160">
        <v>346550.0</v>
      </c>
      <c r="D39" s="160">
        <v>346550.0</v>
      </c>
      <c r="E39" s="153">
        <f t="shared" si="23"/>
        <v>0</v>
      </c>
      <c r="F39" s="154">
        <v>8800.0</v>
      </c>
      <c r="G39" s="150">
        <f t="shared" ref="G39:G45" si="25">6700+1900+200</f>
        <v>8800</v>
      </c>
      <c r="H39" s="153">
        <f t="shared" si="24"/>
        <v>0</v>
      </c>
      <c r="I39" s="186">
        <v>3300.0</v>
      </c>
      <c r="J39" s="154">
        <v>3300.0</v>
      </c>
      <c r="K39" s="153">
        <f t="shared" si="21"/>
        <v>0</v>
      </c>
      <c r="L39" s="186">
        <v>3300.0</v>
      </c>
      <c r="M39" s="154">
        <v>3300.0</v>
      </c>
      <c r="N39" s="153">
        <f t="shared" si="22"/>
        <v>0</v>
      </c>
      <c r="O39" s="136"/>
      <c r="P39" s="136"/>
      <c r="Q39" s="136"/>
      <c r="R39" s="185"/>
      <c r="S39" s="136"/>
      <c r="T39" s="136"/>
      <c r="U39" s="136"/>
      <c r="V39" s="136"/>
      <c r="W39" s="136"/>
      <c r="X39" s="136"/>
      <c r="Y39" s="136"/>
    </row>
    <row r="40" ht="21.0" customHeight="1">
      <c r="A40" s="147">
        <v>5.0</v>
      </c>
      <c r="B40" s="148" t="s">
        <v>21</v>
      </c>
      <c r="C40" s="160">
        <v>244900.0</v>
      </c>
      <c r="D40" s="160">
        <v>244900.0</v>
      </c>
      <c r="E40" s="153">
        <f t="shared" si="23"/>
        <v>0</v>
      </c>
      <c r="F40" s="154">
        <v>8800.0</v>
      </c>
      <c r="G40" s="154">
        <f t="shared" si="25"/>
        <v>8800</v>
      </c>
      <c r="H40" s="153">
        <f t="shared" si="24"/>
        <v>0</v>
      </c>
      <c r="I40" s="186">
        <v>1800.0</v>
      </c>
      <c r="J40" s="150">
        <f>1800</f>
        <v>1800</v>
      </c>
      <c r="K40" s="153">
        <f t="shared" si="21"/>
        <v>0</v>
      </c>
      <c r="L40" s="186">
        <v>1800.0</v>
      </c>
      <c r="M40" s="150">
        <f>1800</f>
        <v>1800</v>
      </c>
      <c r="N40" s="153">
        <f t="shared" si="22"/>
        <v>0</v>
      </c>
      <c r="O40" s="136"/>
      <c r="P40" s="136"/>
      <c r="Q40" s="136"/>
      <c r="R40" s="185"/>
      <c r="S40" s="136"/>
      <c r="T40" s="136"/>
      <c r="U40" s="136"/>
      <c r="V40" s="136"/>
      <c r="W40" s="136"/>
      <c r="X40" s="136"/>
      <c r="Y40" s="136"/>
    </row>
    <row r="41" ht="21.0" customHeight="1">
      <c r="A41" s="147">
        <v>6.0</v>
      </c>
      <c r="B41" s="148" t="s">
        <v>22</v>
      </c>
      <c r="C41" s="160">
        <v>162500.0</v>
      </c>
      <c r="D41" s="160">
        <v>162500.0</v>
      </c>
      <c r="E41" s="153">
        <f t="shared" si="23"/>
        <v>0</v>
      </c>
      <c r="F41" s="154">
        <v>8800.0</v>
      </c>
      <c r="G41" s="154">
        <f t="shared" si="25"/>
        <v>8800</v>
      </c>
      <c r="H41" s="153">
        <f t="shared" si="24"/>
        <v>0</v>
      </c>
      <c r="I41" s="186">
        <v>900.0</v>
      </c>
      <c r="J41" s="154">
        <v>900.0</v>
      </c>
      <c r="K41" s="153">
        <f t="shared" si="21"/>
        <v>0</v>
      </c>
      <c r="L41" s="186">
        <v>900.0</v>
      </c>
      <c r="M41" s="154">
        <v>900.0</v>
      </c>
      <c r="N41" s="153">
        <f t="shared" si="22"/>
        <v>0</v>
      </c>
      <c r="O41" s="136"/>
      <c r="P41" s="136"/>
      <c r="Q41" s="136"/>
      <c r="R41" s="185"/>
      <c r="S41" s="136"/>
      <c r="T41" s="136"/>
      <c r="U41" s="136"/>
      <c r="V41" s="136"/>
      <c r="W41" s="136"/>
      <c r="X41" s="136"/>
      <c r="Y41" s="136"/>
    </row>
    <row r="42" ht="21.0" customHeight="1">
      <c r="A42" s="147">
        <v>7.0</v>
      </c>
      <c r="B42" s="148" t="s">
        <v>23</v>
      </c>
      <c r="C42" s="160">
        <v>216800.0</v>
      </c>
      <c r="D42" s="160">
        <v>216800.0</v>
      </c>
      <c r="E42" s="187" t="s">
        <v>115</v>
      </c>
      <c r="F42" s="154">
        <v>8800.0</v>
      </c>
      <c r="G42" s="154">
        <f t="shared" si="25"/>
        <v>8800</v>
      </c>
      <c r="H42" s="153">
        <f t="shared" si="24"/>
        <v>0</v>
      </c>
      <c r="I42" s="186">
        <v>900.0</v>
      </c>
      <c r="J42" s="154">
        <v>900.0</v>
      </c>
      <c r="K42" s="153">
        <f t="shared" si="21"/>
        <v>0</v>
      </c>
      <c r="L42" s="186">
        <v>900.0</v>
      </c>
      <c r="M42" s="154">
        <v>900.0</v>
      </c>
      <c r="N42" s="153">
        <f t="shared" si="22"/>
        <v>0</v>
      </c>
      <c r="O42" s="136"/>
      <c r="P42" s="136"/>
      <c r="Q42" s="136"/>
      <c r="R42" s="185"/>
      <c r="S42" s="136"/>
      <c r="T42" s="136"/>
      <c r="U42" s="136"/>
      <c r="V42" s="136"/>
      <c r="W42" s="136"/>
      <c r="X42" s="136"/>
      <c r="Y42" s="136"/>
    </row>
    <row r="43" ht="21.0" customHeight="1">
      <c r="A43" s="147">
        <v>8.0</v>
      </c>
      <c r="B43" s="148" t="s">
        <v>24</v>
      </c>
      <c r="C43" s="160">
        <v>130225.0</v>
      </c>
      <c r="D43" s="160">
        <v>130225.0</v>
      </c>
      <c r="E43" s="153">
        <f t="shared" ref="E43:E54" si="26">C43-D43</f>
        <v>0</v>
      </c>
      <c r="F43" s="154">
        <v>8800.0</v>
      </c>
      <c r="G43" s="154">
        <f t="shared" si="25"/>
        <v>8800</v>
      </c>
      <c r="H43" s="153">
        <f t="shared" si="24"/>
        <v>0</v>
      </c>
      <c r="I43" s="186">
        <v>1800.0</v>
      </c>
      <c r="J43" s="154">
        <v>1800.0</v>
      </c>
      <c r="K43" s="153">
        <f t="shared" si="21"/>
        <v>0</v>
      </c>
      <c r="L43" s="186">
        <v>1800.0</v>
      </c>
      <c r="M43" s="154">
        <v>1800.0</v>
      </c>
      <c r="N43" s="153">
        <f t="shared" si="22"/>
        <v>0</v>
      </c>
      <c r="O43" s="136"/>
      <c r="P43" s="136"/>
      <c r="Q43" s="136"/>
      <c r="R43" s="185"/>
      <c r="S43" s="136"/>
      <c r="T43" s="136"/>
      <c r="U43" s="136"/>
      <c r="V43" s="136"/>
      <c r="W43" s="136"/>
      <c r="X43" s="136"/>
      <c r="Y43" s="136"/>
    </row>
    <row r="44" ht="21.0" customHeight="1">
      <c r="A44" s="147">
        <v>9.0</v>
      </c>
      <c r="B44" s="148" t="s">
        <v>25</v>
      </c>
      <c r="C44" s="160">
        <v>151475.0</v>
      </c>
      <c r="D44" s="160">
        <v>151475.0</v>
      </c>
      <c r="E44" s="153">
        <f t="shared" si="26"/>
        <v>0</v>
      </c>
      <c r="F44" s="154">
        <v>8800.0</v>
      </c>
      <c r="G44" s="154">
        <f t="shared" si="25"/>
        <v>8800</v>
      </c>
      <c r="H44" s="153">
        <f t="shared" si="24"/>
        <v>0</v>
      </c>
      <c r="I44" s="186">
        <v>900.0</v>
      </c>
      <c r="J44" s="154">
        <v>900.0</v>
      </c>
      <c r="K44" s="153">
        <f t="shared" si="21"/>
        <v>0</v>
      </c>
      <c r="L44" s="186">
        <v>900.0</v>
      </c>
      <c r="M44" s="154">
        <v>900.0</v>
      </c>
      <c r="N44" s="153">
        <f t="shared" si="22"/>
        <v>0</v>
      </c>
      <c r="O44" s="136"/>
      <c r="P44" s="136"/>
      <c r="Q44" s="136"/>
      <c r="R44" s="185"/>
      <c r="S44" s="136"/>
      <c r="T44" s="136"/>
      <c r="U44" s="136"/>
      <c r="V44" s="136"/>
      <c r="W44" s="136"/>
      <c r="X44" s="136"/>
      <c r="Y44" s="136"/>
    </row>
    <row r="45" ht="21.0" customHeight="1">
      <c r="A45" s="147">
        <v>10.0</v>
      </c>
      <c r="B45" s="148" t="s">
        <v>26</v>
      </c>
      <c r="C45" s="160">
        <v>123325.0</v>
      </c>
      <c r="D45" s="160">
        <v>123325.0</v>
      </c>
      <c r="E45" s="153">
        <f t="shared" si="26"/>
        <v>0</v>
      </c>
      <c r="F45" s="154">
        <v>8800.0</v>
      </c>
      <c r="G45" s="154">
        <f t="shared" si="25"/>
        <v>8800</v>
      </c>
      <c r="H45" s="153">
        <f t="shared" si="24"/>
        <v>0</v>
      </c>
      <c r="I45" s="186">
        <v>900.0</v>
      </c>
      <c r="J45" s="154">
        <v>900.0</v>
      </c>
      <c r="K45" s="153">
        <f t="shared" si="21"/>
        <v>0</v>
      </c>
      <c r="L45" s="186">
        <v>900.0</v>
      </c>
      <c r="M45" s="154">
        <v>900.0</v>
      </c>
      <c r="N45" s="153">
        <f t="shared" si="22"/>
        <v>0</v>
      </c>
      <c r="O45" s="136"/>
      <c r="P45" s="136"/>
      <c r="Q45" s="136"/>
      <c r="R45" s="185"/>
      <c r="S45" s="136"/>
      <c r="T45" s="136"/>
      <c r="U45" s="136"/>
      <c r="V45" s="136"/>
      <c r="W45" s="136"/>
      <c r="X45" s="136"/>
      <c r="Y45" s="136"/>
    </row>
    <row r="46" ht="21.0" customHeight="1">
      <c r="A46" s="147">
        <v>11.0</v>
      </c>
      <c r="B46" s="148" t="s">
        <v>27</v>
      </c>
      <c r="C46" s="160">
        <v>123600.0</v>
      </c>
      <c r="D46" s="149">
        <f>44325+79275</f>
        <v>123600</v>
      </c>
      <c r="E46" s="153">
        <f t="shared" si="26"/>
        <v>0</v>
      </c>
      <c r="F46" s="154">
        <v>8800.0</v>
      </c>
      <c r="G46" s="150">
        <f>6700+200+1900</f>
        <v>8800</v>
      </c>
      <c r="H46" s="153">
        <f t="shared" si="24"/>
        <v>0</v>
      </c>
      <c r="I46" s="186">
        <v>900.0</v>
      </c>
      <c r="J46" s="154">
        <v>900.0</v>
      </c>
      <c r="K46" s="153">
        <f t="shared" si="21"/>
        <v>0</v>
      </c>
      <c r="L46" s="186">
        <v>900.0</v>
      </c>
      <c r="M46" s="154">
        <v>900.0</v>
      </c>
      <c r="N46" s="153">
        <f t="shared" si="22"/>
        <v>0</v>
      </c>
      <c r="O46" s="136"/>
      <c r="P46" s="136"/>
      <c r="Q46" s="136"/>
      <c r="R46" s="185"/>
      <c r="S46" s="136"/>
      <c r="T46" s="136"/>
      <c r="U46" s="136"/>
      <c r="V46" s="136"/>
      <c r="W46" s="136"/>
      <c r="X46" s="136"/>
      <c r="Y46" s="136"/>
    </row>
    <row r="47" ht="21.0" customHeight="1">
      <c r="A47" s="147">
        <v>12.0</v>
      </c>
      <c r="B47" s="148" t="s">
        <v>28</v>
      </c>
      <c r="C47" s="160">
        <v>110425.0</v>
      </c>
      <c r="D47" s="160">
        <f>107300+3125</f>
        <v>110425</v>
      </c>
      <c r="E47" s="153">
        <f t="shared" si="26"/>
        <v>0</v>
      </c>
      <c r="F47" s="154">
        <v>8800.0</v>
      </c>
      <c r="G47" s="154">
        <f>6700+1900+200</f>
        <v>8800</v>
      </c>
      <c r="H47" s="153">
        <f t="shared" si="24"/>
        <v>0</v>
      </c>
      <c r="I47" s="186">
        <v>1800.0</v>
      </c>
      <c r="J47" s="154">
        <v>1800.0</v>
      </c>
      <c r="K47" s="153">
        <f t="shared" si="21"/>
        <v>0</v>
      </c>
      <c r="L47" s="186">
        <v>1800.0</v>
      </c>
      <c r="M47" s="154">
        <v>1800.0</v>
      </c>
      <c r="N47" s="153">
        <f t="shared" si="22"/>
        <v>0</v>
      </c>
      <c r="O47" s="136"/>
      <c r="P47" s="136"/>
      <c r="Q47" s="136"/>
      <c r="R47" s="185"/>
      <c r="S47" s="136"/>
      <c r="T47" s="136"/>
      <c r="U47" s="136"/>
      <c r="V47" s="136"/>
      <c r="W47" s="136"/>
      <c r="X47" s="136"/>
      <c r="Y47" s="136"/>
    </row>
    <row r="48" ht="21.0" customHeight="1">
      <c r="A48" s="147">
        <v>13.0</v>
      </c>
      <c r="B48" s="148" t="s">
        <v>29</v>
      </c>
      <c r="C48" s="160">
        <v>39375.0</v>
      </c>
      <c r="D48" s="160">
        <v>39375.0</v>
      </c>
      <c r="E48" s="153">
        <f t="shared" si="26"/>
        <v>0</v>
      </c>
      <c r="F48" s="154">
        <v>8800.0</v>
      </c>
      <c r="G48" s="150">
        <f>200+1900+6500</f>
        <v>8600</v>
      </c>
      <c r="H48" s="155">
        <f t="shared" si="24"/>
        <v>200</v>
      </c>
      <c r="I48" s="186">
        <v>900.0</v>
      </c>
      <c r="J48" s="154">
        <v>900.0</v>
      </c>
      <c r="K48" s="153">
        <f t="shared" si="21"/>
        <v>0</v>
      </c>
      <c r="L48" s="186">
        <v>900.0</v>
      </c>
      <c r="M48" s="154">
        <v>900.0</v>
      </c>
      <c r="N48" s="153">
        <f t="shared" si="22"/>
        <v>0</v>
      </c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</row>
    <row r="49" ht="21.0" customHeight="1">
      <c r="A49" s="147">
        <v>14.0</v>
      </c>
      <c r="B49" s="148" t="s">
        <v>30</v>
      </c>
      <c r="C49" s="160">
        <v>89925.0</v>
      </c>
      <c r="D49" s="160">
        <v>89925.0</v>
      </c>
      <c r="E49" s="153">
        <f t="shared" si="26"/>
        <v>0</v>
      </c>
      <c r="F49" s="154">
        <v>8800.0</v>
      </c>
      <c r="G49" s="150">
        <f>1900+200+6700</f>
        <v>8800</v>
      </c>
      <c r="H49" s="153">
        <f t="shared" si="24"/>
        <v>0</v>
      </c>
      <c r="I49" s="186">
        <v>900.0</v>
      </c>
      <c r="J49" s="154">
        <v>900.0</v>
      </c>
      <c r="K49" s="188">
        <f t="shared" si="21"/>
        <v>0</v>
      </c>
      <c r="L49" s="186">
        <v>900.0</v>
      </c>
      <c r="M49" s="154">
        <v>900.0</v>
      </c>
      <c r="N49" s="188">
        <f t="shared" si="22"/>
        <v>0</v>
      </c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</row>
    <row r="50" ht="21.0" customHeight="1">
      <c r="A50" s="147">
        <v>15.0</v>
      </c>
      <c r="B50" s="148" t="s">
        <v>31</v>
      </c>
      <c r="C50" s="160">
        <v>96400.0</v>
      </c>
      <c r="D50" s="160">
        <v>96400.0</v>
      </c>
      <c r="E50" s="153">
        <f t="shared" si="26"/>
        <v>0</v>
      </c>
      <c r="F50" s="154">
        <v>8800.0</v>
      </c>
      <c r="G50" s="150">
        <f>6700+1900+200</f>
        <v>8800</v>
      </c>
      <c r="H50" s="153">
        <f t="shared" si="24"/>
        <v>0</v>
      </c>
      <c r="I50" s="186">
        <v>1800.0</v>
      </c>
      <c r="J50" s="154">
        <f>1800</f>
        <v>1800</v>
      </c>
      <c r="K50" s="153">
        <f t="shared" si="21"/>
        <v>0</v>
      </c>
      <c r="L50" s="186">
        <v>1800.0</v>
      </c>
      <c r="M50" s="154">
        <v>1800.0</v>
      </c>
      <c r="N50" s="153">
        <f t="shared" si="22"/>
        <v>0</v>
      </c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</row>
    <row r="51" ht="21.0" customHeight="1">
      <c r="A51" s="147">
        <v>16.0</v>
      </c>
      <c r="B51" s="148" t="s">
        <v>32</v>
      </c>
      <c r="C51" s="160">
        <v>86725.0</v>
      </c>
      <c r="D51" s="149">
        <f>86725</f>
        <v>86725</v>
      </c>
      <c r="E51" s="153">
        <f t="shared" si="26"/>
        <v>0</v>
      </c>
      <c r="F51" s="154">
        <v>8800.0</v>
      </c>
      <c r="G51" s="150">
        <f>1900+6700+200</f>
        <v>8800</v>
      </c>
      <c r="H51" s="153">
        <f t="shared" si="24"/>
        <v>0</v>
      </c>
      <c r="I51" s="186">
        <v>2800.0</v>
      </c>
      <c r="J51" s="154">
        <v>2800.0</v>
      </c>
      <c r="K51" s="153">
        <f t="shared" si="21"/>
        <v>0</v>
      </c>
      <c r="L51" s="186">
        <v>2800.0</v>
      </c>
      <c r="M51" s="154">
        <v>2800.0</v>
      </c>
      <c r="N51" s="153">
        <f t="shared" si="22"/>
        <v>0</v>
      </c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</row>
    <row r="52" ht="20.25" customHeight="1">
      <c r="A52" s="147">
        <v>17.0</v>
      </c>
      <c r="B52" s="148" t="s">
        <v>33</v>
      </c>
      <c r="C52" s="160">
        <v>111275.0</v>
      </c>
      <c r="D52" s="160">
        <v>111275.0</v>
      </c>
      <c r="E52" s="153">
        <f t="shared" si="26"/>
        <v>0</v>
      </c>
      <c r="F52" s="154">
        <v>8800.0</v>
      </c>
      <c r="G52" s="154">
        <f>6700+1900+200</f>
        <v>8800</v>
      </c>
      <c r="H52" s="153">
        <f t="shared" si="24"/>
        <v>0</v>
      </c>
      <c r="I52" s="186">
        <v>900.0</v>
      </c>
      <c r="J52" s="154">
        <v>900.0</v>
      </c>
      <c r="K52" s="153">
        <f t="shared" si="21"/>
        <v>0</v>
      </c>
      <c r="L52" s="186">
        <v>900.0</v>
      </c>
      <c r="M52" s="154">
        <v>900.0</v>
      </c>
      <c r="N52" s="153">
        <f t="shared" si="22"/>
        <v>0</v>
      </c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</row>
    <row r="53" ht="21.0" customHeight="1">
      <c r="A53" s="147">
        <v>18.0</v>
      </c>
      <c r="B53" s="148" t="s">
        <v>34</v>
      </c>
      <c r="C53" s="160">
        <v>103650.0</v>
      </c>
      <c r="D53" s="160">
        <v>103650.0</v>
      </c>
      <c r="E53" s="189">
        <f t="shared" si="26"/>
        <v>0</v>
      </c>
      <c r="F53" s="154">
        <v>8800.0</v>
      </c>
      <c r="G53" s="150">
        <f t="shared" ref="G53:G54" si="27">1900+200+6700</f>
        <v>8800</v>
      </c>
      <c r="H53" s="153">
        <f t="shared" si="24"/>
        <v>0</v>
      </c>
      <c r="I53" s="186">
        <v>900.0</v>
      </c>
      <c r="J53" s="154">
        <v>900.0</v>
      </c>
      <c r="K53" s="153">
        <f t="shared" si="21"/>
        <v>0</v>
      </c>
      <c r="L53" s="186">
        <v>900.0</v>
      </c>
      <c r="M53" s="154">
        <v>900.0</v>
      </c>
      <c r="N53" s="153">
        <f t="shared" si="22"/>
        <v>0</v>
      </c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</row>
    <row r="54" ht="21.0" customHeight="1">
      <c r="A54" s="147">
        <v>19.0</v>
      </c>
      <c r="B54" s="148" t="s">
        <v>35</v>
      </c>
      <c r="C54" s="160">
        <v>76825.0</v>
      </c>
      <c r="D54" s="160">
        <v>76825.0</v>
      </c>
      <c r="E54" s="189">
        <f t="shared" si="26"/>
        <v>0</v>
      </c>
      <c r="F54" s="154">
        <v>8800.0</v>
      </c>
      <c r="G54" s="154">
        <f t="shared" si="27"/>
        <v>8800</v>
      </c>
      <c r="H54" s="153">
        <f t="shared" si="24"/>
        <v>0</v>
      </c>
      <c r="I54" s="186">
        <v>2800.0</v>
      </c>
      <c r="J54" s="154">
        <v>2800.0</v>
      </c>
      <c r="K54" s="153">
        <f t="shared" si="21"/>
        <v>0</v>
      </c>
      <c r="L54" s="186">
        <v>2800.0</v>
      </c>
      <c r="M54" s="154">
        <v>2800.0</v>
      </c>
      <c r="N54" s="153">
        <f t="shared" si="22"/>
        <v>0</v>
      </c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</row>
    <row r="55" ht="21.0" customHeight="1">
      <c r="A55" s="171"/>
      <c r="B55" s="21"/>
      <c r="C55" s="172">
        <f t="shared" ref="C55:E55" si="28">SUM(C37:C54)</f>
        <v>3105000</v>
      </c>
      <c r="D55" s="172">
        <f t="shared" si="28"/>
        <v>3105000</v>
      </c>
      <c r="E55" s="174">
        <f t="shared" si="28"/>
        <v>0</v>
      </c>
      <c r="F55" s="174">
        <f>SUM(F32:F54)</f>
        <v>158400</v>
      </c>
      <c r="G55" s="190">
        <f>SUM(G36:G54)</f>
        <v>158200</v>
      </c>
      <c r="H55" s="173">
        <f>SUM(H32:H54)</f>
        <v>200</v>
      </c>
      <c r="I55" s="191">
        <f>SUM(I34:I54)</f>
        <v>30000</v>
      </c>
      <c r="J55" s="192">
        <f>SUM(J36:J54)</f>
        <v>30000</v>
      </c>
      <c r="K55" s="173">
        <f t="shared" ref="K55:L55" si="29">SUM(K34:K54)</f>
        <v>0</v>
      </c>
      <c r="L55" s="191">
        <f t="shared" si="29"/>
        <v>30000</v>
      </c>
      <c r="M55" s="192">
        <f>SUM(M36:M54)</f>
        <v>30000</v>
      </c>
      <c r="N55" s="173">
        <f>SUM(N34:N54)</f>
        <v>0</v>
      </c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</row>
    <row r="56" ht="21.0" customHeight="1">
      <c r="A56" s="193"/>
      <c r="B56" s="193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</row>
    <row r="57" ht="21.0" customHeight="1">
      <c r="A57" s="193"/>
      <c r="B57" s="193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</row>
    <row r="58" ht="21.0" customHeight="1">
      <c r="A58" s="193"/>
      <c r="B58" s="193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</row>
    <row r="59" ht="21.0" customHeight="1">
      <c r="A59" s="131" t="s">
        <v>91</v>
      </c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</row>
    <row r="60" ht="21.0" customHeight="1">
      <c r="A60" s="131" t="s">
        <v>92</v>
      </c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</row>
    <row r="61" ht="21.0" customHeight="1">
      <c r="A61" s="133" t="s">
        <v>4</v>
      </c>
      <c r="B61" s="133" t="s">
        <v>5</v>
      </c>
      <c r="C61" s="181" t="s">
        <v>116</v>
      </c>
      <c r="D61" s="7"/>
      <c r="E61" s="8"/>
      <c r="F61" s="134" t="s">
        <v>117</v>
      </c>
      <c r="G61" s="7"/>
      <c r="H61" s="8"/>
      <c r="I61" s="195" t="s">
        <v>118</v>
      </c>
      <c r="J61" s="7"/>
      <c r="K61" s="8"/>
      <c r="L61" s="195" t="s">
        <v>118</v>
      </c>
      <c r="M61" s="7"/>
      <c r="N61" s="8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</row>
    <row r="62" ht="21.0" customHeight="1">
      <c r="A62" s="12"/>
      <c r="B62" s="12"/>
      <c r="C62" s="196" t="s">
        <v>119</v>
      </c>
      <c r="E62" s="13"/>
      <c r="H62" s="13"/>
      <c r="I62" s="14"/>
      <c r="J62" s="15"/>
      <c r="K62" s="16"/>
      <c r="L62" s="14"/>
      <c r="M62" s="15"/>
      <c r="N62" s="1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</row>
    <row r="63" ht="21.0" customHeight="1">
      <c r="A63" s="12"/>
      <c r="B63" s="12"/>
      <c r="C63" s="197" t="s">
        <v>99</v>
      </c>
      <c r="D63" s="15"/>
      <c r="E63" s="16"/>
      <c r="F63" s="139" t="s">
        <v>114</v>
      </c>
      <c r="G63" s="7"/>
      <c r="H63" s="8"/>
      <c r="I63" s="141" t="s">
        <v>99</v>
      </c>
      <c r="K63" s="13"/>
      <c r="L63" s="141" t="s">
        <v>114</v>
      </c>
      <c r="N63" s="13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</row>
    <row r="64" ht="21.0" customHeight="1">
      <c r="A64" s="22"/>
      <c r="B64" s="22"/>
      <c r="C64" s="144" t="s">
        <v>13</v>
      </c>
      <c r="D64" s="144" t="s">
        <v>14</v>
      </c>
      <c r="E64" s="144" t="s">
        <v>15</v>
      </c>
      <c r="F64" s="144" t="s">
        <v>13</v>
      </c>
      <c r="G64" s="144" t="s">
        <v>14</v>
      </c>
      <c r="H64" s="144" t="s">
        <v>15</v>
      </c>
      <c r="I64" s="144" t="s">
        <v>13</v>
      </c>
      <c r="J64" s="144" t="s">
        <v>14</v>
      </c>
      <c r="K64" s="144" t="s">
        <v>15</v>
      </c>
      <c r="L64" s="144" t="s">
        <v>13</v>
      </c>
      <c r="M64" s="144" t="s">
        <v>14</v>
      </c>
      <c r="N64" s="144" t="s">
        <v>15</v>
      </c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</row>
    <row r="65" ht="21.0" customHeight="1">
      <c r="A65" s="147">
        <v>1.0</v>
      </c>
      <c r="B65" s="148" t="s">
        <v>17</v>
      </c>
      <c r="C65" s="154">
        <v>26100.0</v>
      </c>
      <c r="D65" s="154">
        <f>21200+1900+3000</f>
        <v>26100</v>
      </c>
      <c r="E65" s="153">
        <f>C65-D65</f>
        <v>0</v>
      </c>
      <c r="F65" s="149"/>
      <c r="G65" s="149"/>
      <c r="H65" s="149"/>
      <c r="I65" s="152"/>
      <c r="J65" s="152"/>
      <c r="K65" s="149"/>
      <c r="L65" s="152"/>
      <c r="M65" s="152"/>
      <c r="N65" s="149"/>
      <c r="O65" s="136"/>
      <c r="P65" s="136"/>
      <c r="Q65" s="136"/>
      <c r="R65" s="136"/>
      <c r="S65" s="136"/>
      <c r="T65" s="136"/>
      <c r="U65" s="198"/>
      <c r="V65" s="136"/>
      <c r="W65" s="136"/>
      <c r="X65" s="136"/>
      <c r="Y65" s="136"/>
    </row>
    <row r="66" ht="21.0" customHeight="1">
      <c r="A66" s="147">
        <v>2.0</v>
      </c>
      <c r="B66" s="159" t="s">
        <v>18</v>
      </c>
      <c r="C66" s="154"/>
      <c r="D66" s="149"/>
      <c r="E66" s="199"/>
      <c r="F66" s="160">
        <v>21700.0</v>
      </c>
      <c r="G66" s="160">
        <f t="shared" ref="G66:G67" si="30">10500+9000+2200</f>
        <v>21700</v>
      </c>
      <c r="H66" s="153">
        <f t="shared" ref="H66:H83" si="31">F66-G66</f>
        <v>0</v>
      </c>
      <c r="I66" s="151"/>
      <c r="J66" s="152"/>
      <c r="K66" s="200"/>
      <c r="L66" s="151">
        <v>9400.0</v>
      </c>
      <c r="M66" s="152">
        <f>6200+1000+2200</f>
        <v>9400</v>
      </c>
      <c r="N66" s="201">
        <f t="shared" ref="N66:N68" si="32">L66-M66</f>
        <v>0</v>
      </c>
      <c r="O66" s="136"/>
      <c r="P66" s="136"/>
      <c r="Q66" s="136"/>
      <c r="R66" s="136"/>
      <c r="S66" s="136"/>
      <c r="T66" s="136"/>
      <c r="U66" s="202"/>
      <c r="V66" s="136"/>
      <c r="W66" s="136"/>
      <c r="X66" s="136"/>
      <c r="Y66" s="136"/>
    </row>
    <row r="67" ht="21.0" customHeight="1">
      <c r="A67" s="147">
        <v>3.0</v>
      </c>
      <c r="B67" s="148" t="s">
        <v>19</v>
      </c>
      <c r="C67" s="154"/>
      <c r="D67" s="149"/>
      <c r="E67" s="199"/>
      <c r="F67" s="160">
        <v>21700.0</v>
      </c>
      <c r="G67" s="160">
        <f t="shared" si="30"/>
        <v>21700</v>
      </c>
      <c r="H67" s="153">
        <f t="shared" si="31"/>
        <v>0</v>
      </c>
      <c r="I67" s="151"/>
      <c r="J67" s="152"/>
      <c r="K67" s="200"/>
      <c r="L67" s="151">
        <v>9400.0</v>
      </c>
      <c r="M67" s="152">
        <f>2200+1000+6200</f>
        <v>9400</v>
      </c>
      <c r="N67" s="201">
        <f t="shared" si="32"/>
        <v>0</v>
      </c>
      <c r="O67" s="136"/>
      <c r="P67" s="136"/>
      <c r="Q67" s="136"/>
      <c r="R67" s="136"/>
      <c r="S67" s="136"/>
      <c r="T67" s="136"/>
      <c r="U67" s="202"/>
      <c r="V67" s="136"/>
      <c r="W67" s="136"/>
      <c r="X67" s="136"/>
      <c r="Y67" s="136"/>
    </row>
    <row r="68" ht="21.0" customHeight="1">
      <c r="A68" s="147">
        <v>4.0</v>
      </c>
      <c r="B68" s="148" t="s">
        <v>20</v>
      </c>
      <c r="C68" s="154"/>
      <c r="D68" s="160"/>
      <c r="E68" s="199"/>
      <c r="F68" s="160">
        <v>21700.0</v>
      </c>
      <c r="G68" s="160">
        <f>10500+2200+9000</f>
        <v>21700</v>
      </c>
      <c r="H68" s="153">
        <f t="shared" si="31"/>
        <v>0</v>
      </c>
      <c r="I68" s="151"/>
      <c r="J68" s="152"/>
      <c r="K68" s="203"/>
      <c r="L68" s="151">
        <v>9400.0</v>
      </c>
      <c r="M68" s="152">
        <f>1000+2200+6200</f>
        <v>9400</v>
      </c>
      <c r="N68" s="201">
        <f t="shared" si="32"/>
        <v>0</v>
      </c>
      <c r="O68" s="136"/>
      <c r="P68" s="136"/>
      <c r="Q68" s="136"/>
      <c r="R68" s="136"/>
      <c r="S68" s="136"/>
      <c r="T68" s="136"/>
      <c r="U68" s="202"/>
      <c r="V68" s="136"/>
      <c r="W68" s="136"/>
      <c r="X68" s="136"/>
      <c r="Y68" s="136"/>
    </row>
    <row r="69" ht="21.0" customHeight="1">
      <c r="A69" s="147">
        <v>5.0</v>
      </c>
      <c r="B69" s="148" t="s">
        <v>21</v>
      </c>
      <c r="C69" s="154"/>
      <c r="D69" s="160"/>
      <c r="E69" s="199"/>
      <c r="F69" s="160">
        <v>21700.0</v>
      </c>
      <c r="G69" s="160">
        <f>10500+9000+2200</f>
        <v>21700</v>
      </c>
      <c r="H69" s="153">
        <f t="shared" si="31"/>
        <v>0</v>
      </c>
      <c r="I69" s="151">
        <v>9400.0</v>
      </c>
      <c r="J69" s="152">
        <f>2200+6200+1000</f>
        <v>9400</v>
      </c>
      <c r="K69" s="201">
        <f t="shared" ref="K69:K74" si="33">I69-J69</f>
        <v>0</v>
      </c>
      <c r="L69" s="204"/>
      <c r="M69" s="205"/>
      <c r="N69" s="200"/>
      <c r="O69" s="136"/>
      <c r="P69" s="136"/>
      <c r="Q69" s="136"/>
      <c r="R69" s="136"/>
      <c r="S69" s="136"/>
      <c r="T69" s="136"/>
      <c r="U69" s="202"/>
      <c r="V69" s="136"/>
      <c r="W69" s="136"/>
      <c r="X69" s="136"/>
      <c r="Y69" s="136"/>
    </row>
    <row r="70" ht="21.0" customHeight="1">
      <c r="A70" s="147">
        <v>6.0</v>
      </c>
      <c r="B70" s="148" t="s">
        <v>22</v>
      </c>
      <c r="C70" s="154"/>
      <c r="D70" s="149"/>
      <c r="E70" s="199"/>
      <c r="F70" s="160">
        <v>21700.0</v>
      </c>
      <c r="G70" s="149">
        <f>10500+2200+9000</f>
        <v>21700</v>
      </c>
      <c r="H70" s="153">
        <f t="shared" si="31"/>
        <v>0</v>
      </c>
      <c r="I70" s="151">
        <v>9400.0</v>
      </c>
      <c r="J70" s="152">
        <f>6200+2200+1000</f>
        <v>9400</v>
      </c>
      <c r="K70" s="201">
        <f t="shared" si="33"/>
        <v>0</v>
      </c>
      <c r="L70" s="206"/>
      <c r="M70" s="206"/>
      <c r="N70" s="206"/>
      <c r="O70" s="136"/>
      <c r="P70" s="136"/>
      <c r="Q70" s="166"/>
      <c r="R70" s="136"/>
      <c r="S70" s="136"/>
      <c r="T70" s="136"/>
      <c r="U70" s="136"/>
      <c r="V70" s="136"/>
      <c r="W70" s="136"/>
      <c r="X70" s="136"/>
      <c r="Y70" s="136"/>
    </row>
    <row r="71" ht="21.0" customHeight="1">
      <c r="A71" s="147">
        <v>7.0</v>
      </c>
      <c r="B71" s="148" t="s">
        <v>23</v>
      </c>
      <c r="C71" s="154"/>
      <c r="D71" s="160"/>
      <c r="E71" s="199"/>
      <c r="F71" s="160">
        <v>21700.0</v>
      </c>
      <c r="G71" s="160">
        <f>10500+9000+2200</f>
        <v>21700</v>
      </c>
      <c r="H71" s="153">
        <f t="shared" si="31"/>
        <v>0</v>
      </c>
      <c r="I71" s="151">
        <v>9400.0</v>
      </c>
      <c r="J71" s="152">
        <f t="shared" ref="J71:J74" si="34">2200+1000+6200</f>
        <v>9400</v>
      </c>
      <c r="K71" s="201">
        <f t="shared" si="33"/>
        <v>0</v>
      </c>
      <c r="L71" s="206"/>
      <c r="M71" s="206"/>
      <c r="N71" s="20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</row>
    <row r="72" ht="21.0" customHeight="1">
      <c r="A72" s="147">
        <v>8.0</v>
      </c>
      <c r="B72" s="148" t="s">
        <v>24</v>
      </c>
      <c r="C72" s="154"/>
      <c r="D72" s="149"/>
      <c r="E72" s="199"/>
      <c r="F72" s="160">
        <v>21700.0</v>
      </c>
      <c r="G72" s="160">
        <f t="shared" ref="G72:G73" si="35">10500+2200+9000</f>
        <v>21700</v>
      </c>
      <c r="H72" s="207">
        <f t="shared" si="31"/>
        <v>0</v>
      </c>
      <c r="I72" s="151">
        <v>9400.0</v>
      </c>
      <c r="J72" s="152">
        <f t="shared" si="34"/>
        <v>9400</v>
      </c>
      <c r="K72" s="201">
        <f t="shared" si="33"/>
        <v>0</v>
      </c>
      <c r="L72" s="206"/>
      <c r="M72" s="206"/>
      <c r="N72" s="20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</row>
    <row r="73" ht="21.0" customHeight="1">
      <c r="A73" s="147">
        <v>9.0</v>
      </c>
      <c r="B73" s="148" t="s">
        <v>25</v>
      </c>
      <c r="C73" s="154"/>
      <c r="D73" s="149"/>
      <c r="E73" s="199"/>
      <c r="F73" s="160">
        <v>21700.0</v>
      </c>
      <c r="G73" s="149">
        <f t="shared" si="35"/>
        <v>21700</v>
      </c>
      <c r="H73" s="153">
        <f t="shared" si="31"/>
        <v>0</v>
      </c>
      <c r="I73" s="151">
        <v>9400.0</v>
      </c>
      <c r="J73" s="152">
        <f t="shared" si="34"/>
        <v>9400</v>
      </c>
      <c r="K73" s="201">
        <f t="shared" si="33"/>
        <v>0</v>
      </c>
      <c r="L73" s="206"/>
      <c r="M73" s="206"/>
      <c r="N73" s="20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</row>
    <row r="74" ht="21.0" customHeight="1">
      <c r="A74" s="147">
        <v>10.0</v>
      </c>
      <c r="B74" s="148" t="s">
        <v>26</v>
      </c>
      <c r="C74" s="154"/>
      <c r="D74" s="149"/>
      <c r="E74" s="199"/>
      <c r="F74" s="160">
        <v>21700.0</v>
      </c>
      <c r="G74" s="160">
        <f>10500+9000+2200</f>
        <v>21700</v>
      </c>
      <c r="H74" s="168">
        <f t="shared" si="31"/>
        <v>0</v>
      </c>
      <c r="I74" s="151">
        <v>9400.0</v>
      </c>
      <c r="J74" s="152">
        <f t="shared" si="34"/>
        <v>9400</v>
      </c>
      <c r="K74" s="201">
        <f t="shared" si="33"/>
        <v>0</v>
      </c>
      <c r="L74" s="206"/>
      <c r="M74" s="206"/>
      <c r="N74" s="20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</row>
    <row r="75" ht="21.0" customHeight="1">
      <c r="A75" s="147">
        <v>11.0</v>
      </c>
      <c r="B75" s="148" t="s">
        <v>27</v>
      </c>
      <c r="C75" s="154"/>
      <c r="D75" s="149"/>
      <c r="E75" s="199"/>
      <c r="F75" s="160">
        <v>21700.0</v>
      </c>
      <c r="G75" s="149">
        <f>10500+9000+2200</f>
        <v>21700</v>
      </c>
      <c r="H75" s="153">
        <f t="shared" si="31"/>
        <v>0</v>
      </c>
      <c r="I75" s="151"/>
      <c r="J75" s="152"/>
      <c r="K75" s="201"/>
      <c r="L75" s="208">
        <v>9400.0</v>
      </c>
      <c r="M75" s="208">
        <f t="shared" ref="M75:M76" si="36">6200+2200+1000</f>
        <v>9400</v>
      </c>
      <c r="N75" s="209">
        <f t="shared" ref="N75:N76" si="37">L75-M75</f>
        <v>0</v>
      </c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</row>
    <row r="76" ht="21.0" customHeight="1">
      <c r="A76" s="147">
        <v>12.0</v>
      </c>
      <c r="B76" s="148" t="s">
        <v>28</v>
      </c>
      <c r="C76" s="154"/>
      <c r="D76" s="149"/>
      <c r="E76" s="199"/>
      <c r="F76" s="160">
        <v>21700.0</v>
      </c>
      <c r="G76" s="160">
        <f>10500+2200+9000</f>
        <v>21700</v>
      </c>
      <c r="H76" s="207">
        <f t="shared" si="31"/>
        <v>0</v>
      </c>
      <c r="I76" s="151"/>
      <c r="J76" s="152"/>
      <c r="K76" s="201"/>
      <c r="L76" s="208">
        <v>9400.0</v>
      </c>
      <c r="M76" s="208">
        <f t="shared" si="36"/>
        <v>9400</v>
      </c>
      <c r="N76" s="209">
        <f t="shared" si="37"/>
        <v>0</v>
      </c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</row>
    <row r="77" ht="21.0" customHeight="1">
      <c r="A77" s="147">
        <v>13.0</v>
      </c>
      <c r="B77" s="148" t="s">
        <v>29</v>
      </c>
      <c r="C77" s="154"/>
      <c r="D77" s="149"/>
      <c r="E77" s="199"/>
      <c r="F77" s="160">
        <v>21700.0</v>
      </c>
      <c r="G77" s="160">
        <f>9900+2200+9000</f>
        <v>21100</v>
      </c>
      <c r="H77" s="155">
        <f t="shared" si="31"/>
        <v>600</v>
      </c>
      <c r="I77" s="151">
        <v>9400.0</v>
      </c>
      <c r="J77" s="152">
        <f>5800+2200+1000</f>
        <v>9000</v>
      </c>
      <c r="K77" s="210">
        <f>I77-J77</f>
        <v>400</v>
      </c>
      <c r="L77" s="206"/>
      <c r="M77" s="206"/>
      <c r="N77" s="20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</row>
    <row r="78" ht="21.0" customHeight="1">
      <c r="A78" s="147">
        <v>14.0</v>
      </c>
      <c r="B78" s="148" t="s">
        <v>30</v>
      </c>
      <c r="C78" s="154"/>
      <c r="D78" s="160"/>
      <c r="E78" s="199"/>
      <c r="F78" s="160">
        <v>21700.0</v>
      </c>
      <c r="G78" s="160">
        <f>10500+2200+9000</f>
        <v>21700</v>
      </c>
      <c r="H78" s="153">
        <f t="shared" si="31"/>
        <v>0</v>
      </c>
      <c r="I78" s="151"/>
      <c r="J78" s="152"/>
      <c r="K78" s="201"/>
      <c r="L78" s="208">
        <v>9400.0</v>
      </c>
      <c r="M78" s="211">
        <f>2200+1000+6200</f>
        <v>9400</v>
      </c>
      <c r="N78" s="209">
        <f t="shared" ref="N78:N79" si="38">L78-M78</f>
        <v>0</v>
      </c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</row>
    <row r="79" ht="21.0" customHeight="1">
      <c r="A79" s="147">
        <v>15.0</v>
      </c>
      <c r="B79" s="148" t="s">
        <v>31</v>
      </c>
      <c r="C79" s="154"/>
      <c r="D79" s="149"/>
      <c r="E79" s="199"/>
      <c r="F79" s="160">
        <v>21700.0</v>
      </c>
      <c r="G79" s="160">
        <f>10500+9000+2200</f>
        <v>21700</v>
      </c>
      <c r="H79" s="153">
        <f t="shared" si="31"/>
        <v>0</v>
      </c>
      <c r="I79" s="151"/>
      <c r="J79" s="152"/>
      <c r="K79" s="212"/>
      <c r="L79" s="208">
        <v>9400.0</v>
      </c>
      <c r="M79" s="211">
        <f>6200+2200+1000</f>
        <v>9400</v>
      </c>
      <c r="N79" s="213">
        <f t="shared" si="38"/>
        <v>0</v>
      </c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</row>
    <row r="80" ht="21.0" customHeight="1">
      <c r="A80" s="147">
        <v>16.0</v>
      </c>
      <c r="B80" s="148" t="s">
        <v>32</v>
      </c>
      <c r="C80" s="154"/>
      <c r="D80" s="160"/>
      <c r="E80" s="199"/>
      <c r="F80" s="160">
        <v>21700.0</v>
      </c>
      <c r="G80" s="160">
        <f>2200+10500+9000</f>
        <v>21700</v>
      </c>
      <c r="H80" s="153">
        <f t="shared" si="31"/>
        <v>0</v>
      </c>
      <c r="I80" s="151">
        <v>9400.0</v>
      </c>
      <c r="J80" s="151">
        <f>2200+6200+1000</f>
        <v>9400</v>
      </c>
      <c r="K80" s="214" t="s">
        <v>115</v>
      </c>
      <c r="L80" s="206"/>
      <c r="M80" s="206"/>
      <c r="N80" s="20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</row>
    <row r="81" ht="21.0" customHeight="1">
      <c r="A81" s="147">
        <v>17.0</v>
      </c>
      <c r="B81" s="148" t="s">
        <v>33</v>
      </c>
      <c r="C81" s="154"/>
      <c r="D81" s="149"/>
      <c r="E81" s="199"/>
      <c r="F81" s="160">
        <v>21700.0</v>
      </c>
      <c r="G81" s="149">
        <f>10500+9000+2200</f>
        <v>21700</v>
      </c>
      <c r="H81" s="153">
        <f t="shared" si="31"/>
        <v>0</v>
      </c>
      <c r="I81" s="151"/>
      <c r="J81" s="152"/>
      <c r="K81" s="201"/>
      <c r="L81" s="208">
        <v>9400.0</v>
      </c>
      <c r="M81" s="211">
        <f>2200+1000+6200</f>
        <v>9400</v>
      </c>
      <c r="N81" s="209">
        <f>L81-M81</f>
        <v>0</v>
      </c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</row>
    <row r="82" ht="18.75" customHeight="1">
      <c r="A82" s="147">
        <v>18.0</v>
      </c>
      <c r="B82" s="148" t="s">
        <v>34</v>
      </c>
      <c r="C82" s="154"/>
      <c r="D82" s="149"/>
      <c r="E82" s="199"/>
      <c r="F82" s="160">
        <v>21700.0</v>
      </c>
      <c r="G82" s="160">
        <f>10500+2200+4500+4500</f>
        <v>21700</v>
      </c>
      <c r="H82" s="153">
        <f t="shared" si="31"/>
        <v>0</v>
      </c>
      <c r="I82" s="151">
        <v>9400.0</v>
      </c>
      <c r="J82" s="152">
        <f>6200+2200+1000</f>
        <v>9400</v>
      </c>
      <c r="K82" s="201">
        <f t="shared" ref="K82:K83" si="39">I82-J82</f>
        <v>0</v>
      </c>
      <c r="L82" s="206"/>
      <c r="M82" s="206"/>
      <c r="N82" s="20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</row>
    <row r="83" ht="21.0" customHeight="1">
      <c r="A83" s="147">
        <v>19.0</v>
      </c>
      <c r="B83" s="148" t="s">
        <v>35</v>
      </c>
      <c r="C83" s="154"/>
      <c r="D83" s="149"/>
      <c r="E83" s="199"/>
      <c r="F83" s="160">
        <v>21700.0</v>
      </c>
      <c r="G83" s="160">
        <f>10500+9000+2200</f>
        <v>21700</v>
      </c>
      <c r="H83" s="153">
        <f t="shared" si="31"/>
        <v>0</v>
      </c>
      <c r="I83" s="151"/>
      <c r="J83" s="152"/>
      <c r="K83" s="212">
        <f t="shared" si="39"/>
        <v>0</v>
      </c>
      <c r="L83" s="208">
        <v>9400.0</v>
      </c>
      <c r="M83" s="211">
        <f>6200+1000+2200</f>
        <v>9400</v>
      </c>
      <c r="N83" s="213">
        <f>L83-M83</f>
        <v>0</v>
      </c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</row>
    <row r="84" ht="21.0" customHeight="1">
      <c r="A84" s="171"/>
      <c r="B84" s="21"/>
      <c r="C84" s="172">
        <f>SUM(C65:C83)</f>
        <v>26100</v>
      </c>
      <c r="D84" s="175">
        <f>21200+1900+3000</f>
        <v>26100</v>
      </c>
      <c r="E84" s="215" t="s">
        <v>115</v>
      </c>
      <c r="F84" s="172">
        <f t="shared" ref="F84:I84" si="40">SUM(F66:F83)</f>
        <v>390600</v>
      </c>
      <c r="G84" s="216">
        <f t="shared" si="40"/>
        <v>390000</v>
      </c>
      <c r="H84" s="173">
        <f t="shared" si="40"/>
        <v>600</v>
      </c>
      <c r="I84" s="217">
        <f t="shared" si="40"/>
        <v>84600</v>
      </c>
      <c r="J84" s="218">
        <f>SUM(J65:J83)</f>
        <v>84200</v>
      </c>
      <c r="K84" s="219">
        <f>SUM(K61:K83)</f>
        <v>400</v>
      </c>
      <c r="L84" s="220">
        <f t="shared" ref="L84:M84" si="41">SUM(L66:L83)</f>
        <v>84600</v>
      </c>
      <c r="M84" s="220">
        <f t="shared" si="41"/>
        <v>84600</v>
      </c>
      <c r="N84" s="221">
        <f>SUM(N61:N83)</f>
        <v>0</v>
      </c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</row>
    <row r="85" ht="21.0" customHeight="1">
      <c r="A85" s="193"/>
      <c r="B85" s="193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</row>
    <row r="86" ht="21.0" customHeight="1">
      <c r="A86" s="193"/>
      <c r="B86" s="193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</row>
    <row r="87" ht="21.0" customHeight="1">
      <c r="A87" s="193"/>
      <c r="B87" s="193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</row>
    <row r="88" ht="21.0" customHeight="1">
      <c r="A88" s="131" t="s">
        <v>91</v>
      </c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</row>
    <row r="89" ht="21.0" customHeight="1">
      <c r="A89" s="131" t="s">
        <v>92</v>
      </c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</row>
    <row r="90" ht="21.0" customHeight="1">
      <c r="A90" s="133" t="s">
        <v>4</v>
      </c>
      <c r="B90" s="133" t="s">
        <v>5</v>
      </c>
      <c r="C90" s="222" t="s">
        <v>120</v>
      </c>
      <c r="E90" s="13"/>
      <c r="F90" s="222" t="s">
        <v>120</v>
      </c>
      <c r="H90" s="13"/>
      <c r="I90" s="181" t="s">
        <v>121</v>
      </c>
      <c r="J90" s="7"/>
      <c r="K90" s="8"/>
      <c r="L90" s="181" t="s">
        <v>122</v>
      </c>
      <c r="M90" s="7"/>
      <c r="N90" s="8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</row>
    <row r="91" ht="21.0" customHeight="1">
      <c r="A91" s="12"/>
      <c r="B91" s="12"/>
      <c r="C91" s="15"/>
      <c r="D91" s="15"/>
      <c r="E91" s="16"/>
      <c r="F91" s="15"/>
      <c r="G91" s="15"/>
      <c r="H91" s="16"/>
      <c r="I91" s="183"/>
      <c r="K91" s="13"/>
      <c r="L91" s="183"/>
      <c r="N91" s="13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</row>
    <row r="92" ht="21.0" customHeight="1">
      <c r="A92" s="12"/>
      <c r="B92" s="12"/>
      <c r="C92" s="139" t="s">
        <v>99</v>
      </c>
      <c r="D92" s="7"/>
      <c r="E92" s="8"/>
      <c r="F92" s="139" t="s">
        <v>114</v>
      </c>
      <c r="G92" s="7"/>
      <c r="H92" s="8"/>
      <c r="I92" s="142" t="s">
        <v>99</v>
      </c>
      <c r="J92" s="15"/>
      <c r="K92" s="16"/>
      <c r="L92" s="142" t="s">
        <v>114</v>
      </c>
      <c r="M92" s="15"/>
      <c r="N92" s="1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</row>
    <row r="93" ht="21.0" customHeight="1">
      <c r="A93" s="22"/>
      <c r="B93" s="22"/>
      <c r="C93" s="144" t="s">
        <v>13</v>
      </c>
      <c r="D93" s="144" t="s">
        <v>14</v>
      </c>
      <c r="E93" s="144" t="s">
        <v>15</v>
      </c>
      <c r="F93" s="144" t="s">
        <v>13</v>
      </c>
      <c r="G93" s="144" t="s">
        <v>14</v>
      </c>
      <c r="H93" s="144" t="s">
        <v>15</v>
      </c>
      <c r="I93" s="144" t="s">
        <v>13</v>
      </c>
      <c r="J93" s="144" t="s">
        <v>14</v>
      </c>
      <c r="K93" s="144" t="s">
        <v>15</v>
      </c>
      <c r="L93" s="144" t="s">
        <v>13</v>
      </c>
      <c r="M93" s="144" t="s">
        <v>14</v>
      </c>
      <c r="N93" s="144" t="s">
        <v>15</v>
      </c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</row>
    <row r="94" ht="21.0" customHeight="1">
      <c r="A94" s="147">
        <v>1.0</v>
      </c>
      <c r="B94" s="148" t="s">
        <v>17</v>
      </c>
      <c r="C94" s="151"/>
      <c r="D94" s="151"/>
      <c r="E94" s="199"/>
      <c r="F94" s="151"/>
      <c r="G94" s="151"/>
      <c r="H94" s="199"/>
      <c r="I94" s="150"/>
      <c r="J94" s="150"/>
      <c r="K94" s="223"/>
      <c r="L94" s="150"/>
      <c r="M94" s="150"/>
      <c r="N94" s="223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</row>
    <row r="95" ht="21.0" customHeight="1">
      <c r="A95" s="147">
        <v>2.0</v>
      </c>
      <c r="B95" s="159" t="s">
        <v>18</v>
      </c>
      <c r="C95" s="151">
        <v>31200.0</v>
      </c>
      <c r="D95" s="151">
        <v>31200.0</v>
      </c>
      <c r="E95" s="153">
        <f t="shared" ref="E95:E112" si="42">C95-D95</f>
        <v>0</v>
      </c>
      <c r="F95" s="151">
        <v>31200.0</v>
      </c>
      <c r="G95" s="151">
        <f>3200+28000</f>
        <v>31200</v>
      </c>
      <c r="H95" s="153">
        <f t="shared" ref="H95:H112" si="43">F95-G95</f>
        <v>0</v>
      </c>
      <c r="I95" s="154">
        <v>24200.0</v>
      </c>
      <c r="J95" s="150">
        <f>16200+8000</f>
        <v>24200</v>
      </c>
      <c r="K95" s="224">
        <f t="shared" ref="K95:K97" si="44">I95-J95</f>
        <v>0</v>
      </c>
      <c r="L95" s="154"/>
      <c r="M95" s="150"/>
      <c r="N95" s="225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</row>
    <row r="96" ht="21.0" customHeight="1">
      <c r="A96" s="147">
        <v>3.0</v>
      </c>
      <c r="B96" s="148" t="s">
        <v>19</v>
      </c>
      <c r="C96" s="151">
        <v>31200.0</v>
      </c>
      <c r="D96" s="151">
        <f>17200+14000</f>
        <v>31200</v>
      </c>
      <c r="E96" s="153">
        <f t="shared" si="42"/>
        <v>0</v>
      </c>
      <c r="F96" s="151">
        <v>31200.0</v>
      </c>
      <c r="G96" s="151">
        <f>17200+14000</f>
        <v>31200</v>
      </c>
      <c r="H96" s="153">
        <f t="shared" si="43"/>
        <v>0</v>
      </c>
      <c r="I96" s="154">
        <v>24200.0</v>
      </c>
      <c r="J96" s="150">
        <f t="shared" ref="J96:J97" si="45">8000+16200</f>
        <v>24200</v>
      </c>
      <c r="K96" s="224">
        <f t="shared" si="44"/>
        <v>0</v>
      </c>
      <c r="L96" s="154"/>
      <c r="M96" s="150"/>
      <c r="N96" s="225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</row>
    <row r="97" ht="21.0" customHeight="1">
      <c r="A97" s="147">
        <v>4.0</v>
      </c>
      <c r="B97" s="148" t="s">
        <v>20</v>
      </c>
      <c r="C97" s="151">
        <v>31200.0</v>
      </c>
      <c r="D97" s="151">
        <v>31200.0</v>
      </c>
      <c r="E97" s="153">
        <f t="shared" si="42"/>
        <v>0</v>
      </c>
      <c r="F97" s="151">
        <v>31200.0</v>
      </c>
      <c r="G97" s="151">
        <f>3200+28000</f>
        <v>31200</v>
      </c>
      <c r="H97" s="153">
        <f t="shared" si="43"/>
        <v>0</v>
      </c>
      <c r="I97" s="154">
        <v>24200.0</v>
      </c>
      <c r="J97" s="150">
        <f t="shared" si="45"/>
        <v>24200</v>
      </c>
      <c r="K97" s="224">
        <f t="shared" si="44"/>
        <v>0</v>
      </c>
      <c r="L97" s="154"/>
      <c r="M97" s="150"/>
      <c r="N97" s="225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</row>
    <row r="98" ht="21.0" customHeight="1">
      <c r="A98" s="147">
        <v>5.0</v>
      </c>
      <c r="B98" s="148" t="s">
        <v>21</v>
      </c>
      <c r="C98" s="151">
        <v>31200.0</v>
      </c>
      <c r="D98" s="151">
        <f>17200+14000</f>
        <v>31200</v>
      </c>
      <c r="E98" s="153">
        <f t="shared" si="42"/>
        <v>0</v>
      </c>
      <c r="F98" s="151">
        <v>31200.0</v>
      </c>
      <c r="G98" s="151">
        <f>17200+14000</f>
        <v>31200</v>
      </c>
      <c r="H98" s="153">
        <f t="shared" si="43"/>
        <v>0</v>
      </c>
      <c r="I98" s="150"/>
      <c r="J98" s="150"/>
      <c r="K98" s="226"/>
      <c r="L98" s="150"/>
      <c r="M98" s="150"/>
      <c r="N98" s="22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</row>
    <row r="99" ht="21.0" customHeight="1">
      <c r="A99" s="147">
        <v>6.0</v>
      </c>
      <c r="B99" s="148" t="s">
        <v>22</v>
      </c>
      <c r="C99" s="151">
        <v>31200.0</v>
      </c>
      <c r="D99" s="151">
        <v>31200.0</v>
      </c>
      <c r="E99" s="153">
        <f t="shared" si="42"/>
        <v>0</v>
      </c>
      <c r="F99" s="151">
        <v>31200.0</v>
      </c>
      <c r="G99" s="151">
        <v>31200.0</v>
      </c>
      <c r="H99" s="153">
        <f t="shared" si="43"/>
        <v>0</v>
      </c>
      <c r="I99" s="150"/>
      <c r="J99" s="150"/>
      <c r="K99" s="226"/>
      <c r="L99" s="150"/>
      <c r="M99" s="150"/>
      <c r="N99" s="22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</row>
    <row r="100" ht="21.0" customHeight="1">
      <c r="A100" s="147">
        <v>7.0</v>
      </c>
      <c r="B100" s="148" t="s">
        <v>23</v>
      </c>
      <c r="C100" s="151">
        <v>15600.0</v>
      </c>
      <c r="D100" s="151">
        <v>15600.0</v>
      </c>
      <c r="E100" s="153">
        <f t="shared" si="42"/>
        <v>0</v>
      </c>
      <c r="F100" s="151">
        <v>31200.0</v>
      </c>
      <c r="G100" s="151">
        <v>31200.0</v>
      </c>
      <c r="H100" s="153">
        <f t="shared" si="43"/>
        <v>0</v>
      </c>
      <c r="I100" s="150"/>
      <c r="J100" s="150"/>
      <c r="K100" s="226"/>
      <c r="L100" s="150"/>
      <c r="M100" s="150"/>
      <c r="N100" s="22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</row>
    <row r="101" ht="21.0" customHeight="1">
      <c r="A101" s="147">
        <v>8.0</v>
      </c>
      <c r="B101" s="148" t="s">
        <v>24</v>
      </c>
      <c r="C101" s="151">
        <v>15600.0</v>
      </c>
      <c r="D101" s="151">
        <v>15600.0</v>
      </c>
      <c r="E101" s="153">
        <f t="shared" si="42"/>
        <v>0</v>
      </c>
      <c r="F101" s="151">
        <v>31200.0</v>
      </c>
      <c r="G101" s="151">
        <v>31200.0</v>
      </c>
      <c r="H101" s="207">
        <f t="shared" si="43"/>
        <v>0</v>
      </c>
      <c r="I101" s="154"/>
      <c r="J101" s="150"/>
      <c r="K101" s="225"/>
      <c r="L101" s="154">
        <v>24200.0</v>
      </c>
      <c r="M101" s="150">
        <f>16200+8000</f>
        <v>24200</v>
      </c>
      <c r="N101" s="224">
        <f>L101-M101</f>
        <v>0</v>
      </c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</row>
    <row r="102" ht="21.0" customHeight="1">
      <c r="A102" s="147">
        <v>9.0</v>
      </c>
      <c r="B102" s="148" t="s">
        <v>25</v>
      </c>
      <c r="C102" s="151">
        <v>15600.0</v>
      </c>
      <c r="D102" s="152">
        <f t="shared" ref="D102:D105" si="46">8600+7000</f>
        <v>15600</v>
      </c>
      <c r="E102" s="153">
        <f t="shared" si="42"/>
        <v>0</v>
      </c>
      <c r="F102" s="151">
        <v>31200.0</v>
      </c>
      <c r="G102" s="151">
        <f t="shared" ref="G102:G105" si="47">17200+14000</f>
        <v>31200</v>
      </c>
      <c r="H102" s="153">
        <f t="shared" si="43"/>
        <v>0</v>
      </c>
      <c r="I102" s="150"/>
      <c r="J102" s="150"/>
      <c r="K102" s="225"/>
      <c r="L102" s="150"/>
      <c r="M102" s="150"/>
      <c r="N102" s="22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</row>
    <row r="103" ht="21.0" customHeight="1">
      <c r="A103" s="147">
        <v>10.0</v>
      </c>
      <c r="B103" s="148" t="s">
        <v>26</v>
      </c>
      <c r="C103" s="151">
        <v>15600.0</v>
      </c>
      <c r="D103" s="151">
        <f t="shared" si="46"/>
        <v>15600</v>
      </c>
      <c r="E103" s="153">
        <f t="shared" si="42"/>
        <v>0</v>
      </c>
      <c r="F103" s="151">
        <v>31200.0</v>
      </c>
      <c r="G103" s="151">
        <f t="shared" si="47"/>
        <v>31200</v>
      </c>
      <c r="H103" s="153">
        <f t="shared" si="43"/>
        <v>0</v>
      </c>
      <c r="I103" s="154"/>
      <c r="J103" s="150"/>
      <c r="K103" s="225"/>
      <c r="L103" s="154">
        <v>24200.0</v>
      </c>
      <c r="M103" s="154">
        <f>16200+8000</f>
        <v>24200</v>
      </c>
      <c r="N103" s="224">
        <f>L103-M103</f>
        <v>0</v>
      </c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</row>
    <row r="104" ht="21.0" customHeight="1">
      <c r="A104" s="147">
        <v>11.0</v>
      </c>
      <c r="B104" s="148" t="s">
        <v>27</v>
      </c>
      <c r="C104" s="227">
        <v>15600.0</v>
      </c>
      <c r="D104" s="151">
        <f t="shared" si="46"/>
        <v>15600</v>
      </c>
      <c r="E104" s="153">
        <f t="shared" si="42"/>
        <v>0</v>
      </c>
      <c r="F104" s="151">
        <v>31200.0</v>
      </c>
      <c r="G104" s="151">
        <f t="shared" si="47"/>
        <v>31200</v>
      </c>
      <c r="H104" s="153">
        <f t="shared" si="43"/>
        <v>0</v>
      </c>
      <c r="I104" s="150"/>
      <c r="J104" s="150"/>
      <c r="K104" s="225"/>
      <c r="L104" s="150"/>
      <c r="M104" s="150"/>
      <c r="N104" s="22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</row>
    <row r="105" ht="21.0" customHeight="1">
      <c r="A105" s="147">
        <v>12.0</v>
      </c>
      <c r="B105" s="148" t="s">
        <v>28</v>
      </c>
      <c r="C105" s="151">
        <v>15600.0</v>
      </c>
      <c r="D105" s="152">
        <f t="shared" si="46"/>
        <v>15600</v>
      </c>
      <c r="E105" s="153">
        <f t="shared" si="42"/>
        <v>0</v>
      </c>
      <c r="F105" s="151">
        <v>31200.0</v>
      </c>
      <c r="G105" s="151">
        <f t="shared" si="47"/>
        <v>31200</v>
      </c>
      <c r="H105" s="153">
        <f t="shared" si="43"/>
        <v>0</v>
      </c>
      <c r="I105" s="150"/>
      <c r="J105" s="150"/>
      <c r="K105" s="225"/>
      <c r="L105" s="150"/>
      <c r="M105" s="150"/>
      <c r="N105" s="22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</row>
    <row r="106" ht="21.0" customHeight="1">
      <c r="A106" s="147">
        <v>13.0</v>
      </c>
      <c r="B106" s="148" t="s">
        <v>29</v>
      </c>
      <c r="C106" s="151">
        <v>15600.0</v>
      </c>
      <c r="D106" s="152">
        <f>7800+7000</f>
        <v>14800</v>
      </c>
      <c r="E106" s="155">
        <f t="shared" si="42"/>
        <v>800</v>
      </c>
      <c r="F106" s="151">
        <v>31200.0</v>
      </c>
      <c r="G106" s="151">
        <f>15600+14000</f>
        <v>29600</v>
      </c>
      <c r="H106" s="155">
        <f t="shared" si="43"/>
        <v>1600</v>
      </c>
      <c r="I106" s="150"/>
      <c r="J106" s="150"/>
      <c r="K106" s="225"/>
      <c r="L106" s="150"/>
      <c r="M106" s="150"/>
      <c r="N106" s="22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</row>
    <row r="107" ht="21.0" customHeight="1">
      <c r="A107" s="147">
        <v>14.0</v>
      </c>
      <c r="B107" s="148" t="s">
        <v>30</v>
      </c>
      <c r="C107" s="151">
        <v>15600.0</v>
      </c>
      <c r="D107" s="151">
        <v>15600.0</v>
      </c>
      <c r="E107" s="153">
        <f t="shared" si="42"/>
        <v>0</v>
      </c>
      <c r="F107" s="151">
        <v>31200.0</v>
      </c>
      <c r="G107" s="151">
        <v>31200.0</v>
      </c>
      <c r="H107" s="153">
        <f t="shared" si="43"/>
        <v>0</v>
      </c>
      <c r="I107" s="150"/>
      <c r="J107" s="150"/>
      <c r="K107" s="225"/>
      <c r="L107" s="150"/>
      <c r="M107" s="150"/>
      <c r="N107" s="22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</row>
    <row r="108" ht="21.0" customHeight="1">
      <c r="A108" s="147">
        <v>15.0</v>
      </c>
      <c r="B108" s="148" t="s">
        <v>31</v>
      </c>
      <c r="C108" s="151">
        <v>15600.0</v>
      </c>
      <c r="D108" s="152">
        <f>7000+8600</f>
        <v>15600</v>
      </c>
      <c r="E108" s="153">
        <f t="shared" si="42"/>
        <v>0</v>
      </c>
      <c r="F108" s="151">
        <v>31200.0</v>
      </c>
      <c r="G108" s="151">
        <f>17200+7000+7000</f>
        <v>31200</v>
      </c>
      <c r="H108" s="153">
        <f t="shared" si="43"/>
        <v>0</v>
      </c>
      <c r="I108" s="150"/>
      <c r="J108" s="150"/>
      <c r="K108" s="225"/>
      <c r="L108" s="150"/>
      <c r="M108" s="150"/>
      <c r="N108" s="22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</row>
    <row r="109" ht="21.0" customHeight="1">
      <c r="A109" s="147">
        <v>16.0</v>
      </c>
      <c r="B109" s="148" t="s">
        <v>32</v>
      </c>
      <c r="C109" s="151">
        <v>15600.0</v>
      </c>
      <c r="D109" s="152">
        <f>8600+7000</f>
        <v>15600</v>
      </c>
      <c r="E109" s="153">
        <f t="shared" si="42"/>
        <v>0</v>
      </c>
      <c r="F109" s="151">
        <v>31200.0</v>
      </c>
      <c r="G109" s="151">
        <v>31200.0</v>
      </c>
      <c r="H109" s="153">
        <f t="shared" si="43"/>
        <v>0</v>
      </c>
      <c r="I109" s="154"/>
      <c r="J109" s="150"/>
      <c r="K109" s="225"/>
      <c r="L109" s="154">
        <v>24200.0</v>
      </c>
      <c r="M109" s="150">
        <f>16200+8000</f>
        <v>24200</v>
      </c>
      <c r="N109" s="224">
        <f>L109-M109</f>
        <v>0</v>
      </c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</row>
    <row r="110" ht="21.0" customHeight="1">
      <c r="A110" s="147">
        <v>17.0</v>
      </c>
      <c r="B110" s="148" t="s">
        <v>33</v>
      </c>
      <c r="C110" s="151">
        <v>15600.0</v>
      </c>
      <c r="D110" s="152">
        <f t="shared" ref="D110:D112" si="48">7000+8600</f>
        <v>15600</v>
      </c>
      <c r="E110" s="153">
        <f t="shared" si="42"/>
        <v>0</v>
      </c>
      <c r="F110" s="151">
        <v>31200.0</v>
      </c>
      <c r="G110" s="151">
        <v>31200.0</v>
      </c>
      <c r="H110" s="153">
        <f t="shared" si="43"/>
        <v>0</v>
      </c>
      <c r="I110" s="150"/>
      <c r="J110" s="150"/>
      <c r="K110" s="225"/>
      <c r="L110" s="150"/>
      <c r="M110" s="150"/>
      <c r="N110" s="22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</row>
    <row r="111" ht="18.75" customHeight="1">
      <c r="A111" s="147">
        <v>18.0</v>
      </c>
      <c r="B111" s="148" t="s">
        <v>34</v>
      </c>
      <c r="C111" s="151">
        <v>15600.0</v>
      </c>
      <c r="D111" s="152">
        <f t="shared" si="48"/>
        <v>15600</v>
      </c>
      <c r="E111" s="153">
        <f t="shared" si="42"/>
        <v>0</v>
      </c>
      <c r="F111" s="151">
        <v>31200.0</v>
      </c>
      <c r="G111" s="151">
        <f>17200+7000+7000</f>
        <v>31200</v>
      </c>
      <c r="H111" s="153">
        <f t="shared" si="43"/>
        <v>0</v>
      </c>
      <c r="I111" s="154"/>
      <c r="J111" s="150"/>
      <c r="K111" s="228"/>
      <c r="L111" s="154">
        <v>24200.0</v>
      </c>
      <c r="M111" s="150">
        <f>16200+8000</f>
        <v>24200</v>
      </c>
      <c r="N111" s="229">
        <f>L111-M111</f>
        <v>0</v>
      </c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</row>
    <row r="112" ht="21.0" customHeight="1">
      <c r="A112" s="147">
        <v>19.0</v>
      </c>
      <c r="B112" s="148" t="s">
        <v>35</v>
      </c>
      <c r="C112" s="151">
        <v>15600.0</v>
      </c>
      <c r="D112" s="152">
        <f t="shared" si="48"/>
        <v>15600</v>
      </c>
      <c r="E112" s="153">
        <f t="shared" si="42"/>
        <v>0</v>
      </c>
      <c r="F112" s="151">
        <v>31200.0</v>
      </c>
      <c r="G112" s="151">
        <f>17200+14000</f>
        <v>31200</v>
      </c>
      <c r="H112" s="153">
        <f t="shared" si="43"/>
        <v>0</v>
      </c>
      <c r="I112" s="150"/>
      <c r="J112" s="150"/>
      <c r="K112" s="225"/>
      <c r="L112" s="150"/>
      <c r="M112" s="150"/>
      <c r="N112" s="22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</row>
    <row r="113" ht="21.0" customHeight="1">
      <c r="A113" s="171"/>
      <c r="B113" s="21"/>
      <c r="C113" s="174">
        <f t="shared" ref="C113:H113" si="49">SUM(C90:C112)</f>
        <v>358800</v>
      </c>
      <c r="D113" s="172">
        <f t="shared" si="49"/>
        <v>358000</v>
      </c>
      <c r="E113" s="173">
        <f t="shared" si="49"/>
        <v>800</v>
      </c>
      <c r="F113" s="174">
        <f t="shared" si="49"/>
        <v>561600</v>
      </c>
      <c r="G113" s="172">
        <f t="shared" si="49"/>
        <v>560000</v>
      </c>
      <c r="H113" s="173">
        <f t="shared" si="49"/>
        <v>1600</v>
      </c>
      <c r="I113" s="174">
        <f>SUM(I95:I112)</f>
        <v>72600</v>
      </c>
      <c r="J113" s="192">
        <f>SUM(J95:J97)</f>
        <v>72600</v>
      </c>
      <c r="K113" s="230">
        <f>I113-J113</f>
        <v>0</v>
      </c>
      <c r="L113" s="174">
        <f>SUM(L95:L112)</f>
        <v>96800</v>
      </c>
      <c r="M113" s="192">
        <f>SUM(M90:M112)</f>
        <v>96800</v>
      </c>
      <c r="N113" s="230">
        <f>L113-M113</f>
        <v>0</v>
      </c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</row>
    <row r="114" ht="21.0" customHeight="1">
      <c r="A114" s="193"/>
      <c r="B114" s="193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</row>
    <row r="115" ht="21.0" customHeight="1">
      <c r="A115" s="193"/>
      <c r="B115" s="193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</row>
    <row r="116" ht="21.0" customHeight="1">
      <c r="A116" s="193"/>
      <c r="B116" s="193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</row>
    <row r="117" ht="21.0" customHeight="1">
      <c r="A117" s="131" t="s">
        <v>91</v>
      </c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</row>
    <row r="118" ht="21.0" customHeight="1">
      <c r="A118" s="131" t="s">
        <v>92</v>
      </c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</row>
    <row r="119" ht="21.0" customHeight="1">
      <c r="A119" s="133" t="s">
        <v>4</v>
      </c>
      <c r="B119" s="133" t="s">
        <v>5</v>
      </c>
      <c r="C119" s="231" t="s">
        <v>123</v>
      </c>
      <c r="D119" s="231"/>
      <c r="E119" s="232"/>
      <c r="F119" s="233" t="s">
        <v>124</v>
      </c>
      <c r="H119" s="13"/>
      <c r="I119" s="135" t="s">
        <v>125</v>
      </c>
      <c r="J119" s="7"/>
      <c r="K119" s="8"/>
      <c r="L119" s="234" t="s">
        <v>126</v>
      </c>
      <c r="M119" s="7"/>
      <c r="N119" s="8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</row>
    <row r="120" ht="21.0" customHeight="1">
      <c r="A120" s="12"/>
      <c r="B120" s="12"/>
      <c r="C120" s="235"/>
      <c r="D120" s="15"/>
      <c r="E120" s="16"/>
      <c r="F120" s="15"/>
      <c r="G120" s="15"/>
      <c r="H120" s="16"/>
      <c r="I120" s="14"/>
      <c r="J120" s="15"/>
      <c r="K120" s="16"/>
      <c r="L120" s="14"/>
      <c r="M120" s="15"/>
      <c r="N120" s="1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</row>
    <row r="121" ht="21.0" customHeight="1">
      <c r="A121" s="12"/>
      <c r="B121" s="12"/>
      <c r="C121" s="236" t="s">
        <v>99</v>
      </c>
      <c r="E121" s="13"/>
      <c r="F121" s="139" t="s">
        <v>114</v>
      </c>
      <c r="G121" s="7"/>
      <c r="H121" s="8"/>
      <c r="I121" s="140" t="s">
        <v>114</v>
      </c>
      <c r="K121" s="13"/>
      <c r="L121" s="237" t="s">
        <v>114</v>
      </c>
      <c r="N121" s="13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</row>
    <row r="122" ht="21.0" customHeight="1">
      <c r="A122" s="22"/>
      <c r="B122" s="22"/>
      <c r="C122" s="144" t="s">
        <v>13</v>
      </c>
      <c r="D122" s="144" t="s">
        <v>14</v>
      </c>
      <c r="E122" s="144" t="s">
        <v>15</v>
      </c>
      <c r="F122" s="144" t="s">
        <v>13</v>
      </c>
      <c r="G122" s="144" t="s">
        <v>14</v>
      </c>
      <c r="H122" s="144" t="s">
        <v>15</v>
      </c>
      <c r="I122" s="144" t="s">
        <v>13</v>
      </c>
      <c r="J122" s="144" t="s">
        <v>14</v>
      </c>
      <c r="K122" s="144" t="s">
        <v>15</v>
      </c>
      <c r="L122" s="144" t="s">
        <v>13</v>
      </c>
      <c r="M122" s="144" t="s">
        <v>14</v>
      </c>
      <c r="N122" s="144" t="s">
        <v>15</v>
      </c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</row>
    <row r="123" ht="21.0" customHeight="1">
      <c r="A123" s="147">
        <v>1.0</v>
      </c>
      <c r="B123" s="148" t="s">
        <v>17</v>
      </c>
      <c r="C123" s="150"/>
      <c r="D123" s="150"/>
      <c r="E123" s="149"/>
      <c r="F123" s="151"/>
      <c r="G123" s="151"/>
      <c r="H123" s="199"/>
      <c r="I123" s="150"/>
      <c r="J123" s="150"/>
      <c r="K123" s="149"/>
      <c r="L123" s="150"/>
      <c r="M123" s="150"/>
      <c r="N123" s="149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</row>
    <row r="124" ht="21.0" customHeight="1">
      <c r="A124" s="147">
        <v>2.0</v>
      </c>
      <c r="B124" s="159" t="s">
        <v>18</v>
      </c>
      <c r="C124" s="150"/>
      <c r="D124" s="150"/>
      <c r="E124" s="149"/>
      <c r="F124" s="154">
        <v>7700.0</v>
      </c>
      <c r="G124" s="154">
        <f t="shared" ref="G124:G134" si="50">6200+1500</f>
        <v>7700</v>
      </c>
      <c r="H124" s="153">
        <f t="shared" ref="H124:H141" si="51">F124-G124</f>
        <v>0</v>
      </c>
      <c r="I124" s="150"/>
      <c r="J124" s="150"/>
      <c r="K124" s="149"/>
      <c r="L124" s="150"/>
      <c r="M124" s="150"/>
      <c r="N124" s="149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</row>
    <row r="125" ht="21.0" customHeight="1">
      <c r="A125" s="147">
        <v>3.0</v>
      </c>
      <c r="B125" s="148" t="s">
        <v>19</v>
      </c>
      <c r="C125" s="154">
        <v>9200.0</v>
      </c>
      <c r="D125" s="150">
        <f>1400+400+7400</f>
        <v>9200</v>
      </c>
      <c r="E125" s="168">
        <f>C125-D125</f>
        <v>0</v>
      </c>
      <c r="F125" s="154">
        <v>7700.0</v>
      </c>
      <c r="G125" s="154">
        <f t="shared" si="50"/>
        <v>7700</v>
      </c>
      <c r="H125" s="153">
        <f t="shared" si="51"/>
        <v>0</v>
      </c>
      <c r="I125" s="154">
        <v>31000.0</v>
      </c>
      <c r="J125" s="154">
        <f>16800+1300+7500+3600+1800</f>
        <v>31000</v>
      </c>
      <c r="K125" s="153">
        <f>I125-J125</f>
        <v>0</v>
      </c>
      <c r="L125" s="154">
        <v>9600.0</v>
      </c>
      <c r="M125" s="154">
        <f>7500+600+1500</f>
        <v>9600</v>
      </c>
      <c r="N125" s="153">
        <f t="shared" ref="N125:N126" si="52">L125-M125</f>
        <v>0</v>
      </c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</row>
    <row r="126" ht="21.0" customHeight="1">
      <c r="A126" s="147">
        <v>4.0</v>
      </c>
      <c r="B126" s="148" t="s">
        <v>20</v>
      </c>
      <c r="C126" s="150"/>
      <c r="D126" s="150"/>
      <c r="E126" s="149"/>
      <c r="F126" s="154">
        <v>7700.0</v>
      </c>
      <c r="G126" s="150">
        <f t="shared" si="50"/>
        <v>7700</v>
      </c>
      <c r="H126" s="153">
        <f t="shared" si="51"/>
        <v>0</v>
      </c>
      <c r="I126" s="150"/>
      <c r="J126" s="150"/>
      <c r="K126" s="149"/>
      <c r="L126" s="154">
        <v>9600.0</v>
      </c>
      <c r="M126" s="154">
        <f>7500+1500+600</f>
        <v>9600</v>
      </c>
      <c r="N126" s="153">
        <f t="shared" si="52"/>
        <v>0</v>
      </c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</row>
    <row r="127" ht="21.0" customHeight="1">
      <c r="A127" s="147">
        <v>5.0</v>
      </c>
      <c r="B127" s="148" t="s">
        <v>21</v>
      </c>
      <c r="C127" s="150"/>
      <c r="D127" s="150"/>
      <c r="E127" s="149"/>
      <c r="F127" s="154">
        <v>7700.0</v>
      </c>
      <c r="G127" s="154">
        <f t="shared" si="50"/>
        <v>7700</v>
      </c>
      <c r="H127" s="153">
        <f t="shared" si="51"/>
        <v>0</v>
      </c>
      <c r="I127" s="154">
        <v>31000.0</v>
      </c>
      <c r="J127" s="154">
        <f>16800+1800+3600+7500+1300</f>
        <v>31000</v>
      </c>
      <c r="K127" s="153">
        <f>I127-J127</f>
        <v>0</v>
      </c>
      <c r="L127" s="150"/>
      <c r="M127" s="150"/>
      <c r="N127" s="149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</row>
    <row r="128" ht="21.0" customHeight="1">
      <c r="A128" s="147">
        <v>6.0</v>
      </c>
      <c r="B128" s="148" t="s">
        <v>22</v>
      </c>
      <c r="C128" s="150"/>
      <c r="D128" s="150"/>
      <c r="E128" s="149"/>
      <c r="F128" s="154">
        <v>7700.0</v>
      </c>
      <c r="G128" s="150">
        <f t="shared" si="50"/>
        <v>7700</v>
      </c>
      <c r="H128" s="153">
        <f t="shared" si="51"/>
        <v>0</v>
      </c>
      <c r="I128" s="150"/>
      <c r="J128" s="150"/>
      <c r="K128" s="149"/>
      <c r="L128" s="150"/>
      <c r="M128" s="150"/>
      <c r="N128" s="149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</row>
    <row r="129" ht="21.0" customHeight="1">
      <c r="A129" s="147">
        <v>7.0</v>
      </c>
      <c r="B129" s="148" t="s">
        <v>23</v>
      </c>
      <c r="C129" s="154">
        <v>9200.0</v>
      </c>
      <c r="D129" s="154">
        <f>7400+400+1400</f>
        <v>9200</v>
      </c>
      <c r="E129" s="153">
        <f>C129-D129</f>
        <v>0</v>
      </c>
      <c r="F129" s="154">
        <v>7700.0</v>
      </c>
      <c r="G129" s="150">
        <f t="shared" si="50"/>
        <v>7700</v>
      </c>
      <c r="H129" s="153">
        <f t="shared" si="51"/>
        <v>0</v>
      </c>
      <c r="I129" s="154">
        <v>31000.0</v>
      </c>
      <c r="J129" s="150">
        <f>16800+1300+3600+1800+7500</f>
        <v>31000</v>
      </c>
      <c r="K129" s="153">
        <f>I129-J129</f>
        <v>0</v>
      </c>
      <c r="L129" s="154">
        <v>19200.0</v>
      </c>
      <c r="M129" s="150">
        <f>15000+1200+3000</f>
        <v>19200</v>
      </c>
      <c r="N129" s="153">
        <f>L129-M129</f>
        <v>0</v>
      </c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</row>
    <row r="130" ht="21.0" customHeight="1">
      <c r="A130" s="147">
        <v>8.0</v>
      </c>
      <c r="B130" s="148" t="s">
        <v>24</v>
      </c>
      <c r="C130" s="150"/>
      <c r="D130" s="150"/>
      <c r="E130" s="149"/>
      <c r="F130" s="154">
        <v>7700.0</v>
      </c>
      <c r="G130" s="154">
        <f t="shared" si="50"/>
        <v>7700</v>
      </c>
      <c r="H130" s="153">
        <f t="shared" si="51"/>
        <v>0</v>
      </c>
      <c r="I130" s="150"/>
      <c r="J130" s="150"/>
      <c r="K130" s="149"/>
      <c r="L130" s="150"/>
      <c r="M130" s="150"/>
      <c r="N130" s="149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</row>
    <row r="131" ht="21.0" customHeight="1">
      <c r="A131" s="147">
        <v>9.0</v>
      </c>
      <c r="B131" s="148" t="s">
        <v>25</v>
      </c>
      <c r="C131" s="150"/>
      <c r="D131" s="150"/>
      <c r="E131" s="149"/>
      <c r="F131" s="154">
        <v>7700.0</v>
      </c>
      <c r="G131" s="150">
        <f t="shared" si="50"/>
        <v>7700</v>
      </c>
      <c r="H131" s="153">
        <f t="shared" si="51"/>
        <v>0</v>
      </c>
      <c r="I131" s="150"/>
      <c r="J131" s="154"/>
      <c r="K131" s="149"/>
      <c r="L131" s="154">
        <v>9600.0</v>
      </c>
      <c r="M131" s="154">
        <f t="shared" ref="M131:M132" si="53">7500+1500+600</f>
        <v>9600</v>
      </c>
      <c r="N131" s="153">
        <f t="shared" ref="N131:N141" si="54">L131-M131</f>
        <v>0</v>
      </c>
      <c r="O131" s="136"/>
      <c r="P131" s="136"/>
      <c r="Q131" s="136"/>
      <c r="R131" s="136"/>
      <c r="S131" s="166" t="s">
        <v>98</v>
      </c>
      <c r="T131" s="136"/>
      <c r="U131" s="136"/>
      <c r="V131" s="136"/>
      <c r="W131" s="136"/>
      <c r="X131" s="136"/>
      <c r="Y131" s="136"/>
    </row>
    <row r="132" ht="21.0" customHeight="1">
      <c r="A132" s="147">
        <v>10.0</v>
      </c>
      <c r="B132" s="148" t="s">
        <v>26</v>
      </c>
      <c r="C132" s="154">
        <v>9200.0</v>
      </c>
      <c r="D132" s="154">
        <f>7400+400+1400</f>
        <v>9200</v>
      </c>
      <c r="E132" s="153">
        <f>C132-D132</f>
        <v>0</v>
      </c>
      <c r="F132" s="154">
        <v>7700.0</v>
      </c>
      <c r="G132" s="154">
        <f t="shared" si="50"/>
        <v>7700</v>
      </c>
      <c r="H132" s="153">
        <f t="shared" si="51"/>
        <v>0</v>
      </c>
      <c r="I132" s="150"/>
      <c r="J132" s="150"/>
      <c r="K132" s="223"/>
      <c r="L132" s="154">
        <v>9600.0</v>
      </c>
      <c r="M132" s="154">
        <f t="shared" si="53"/>
        <v>9600</v>
      </c>
      <c r="N132" s="153">
        <f t="shared" si="54"/>
        <v>0</v>
      </c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</row>
    <row r="133" ht="21.0" customHeight="1">
      <c r="A133" s="147">
        <v>11.0</v>
      </c>
      <c r="B133" s="148" t="s">
        <v>27</v>
      </c>
      <c r="C133" s="150"/>
      <c r="D133" s="150"/>
      <c r="E133" s="149"/>
      <c r="F133" s="154">
        <v>7700.0</v>
      </c>
      <c r="G133" s="154">
        <f t="shared" si="50"/>
        <v>7700</v>
      </c>
      <c r="H133" s="153">
        <f t="shared" si="51"/>
        <v>0</v>
      </c>
      <c r="I133" s="150"/>
      <c r="J133" s="238"/>
      <c r="K133" s="223"/>
      <c r="L133" s="154">
        <v>9600.0</v>
      </c>
      <c r="M133" s="239">
        <f>7500+600+1500</f>
        <v>9600</v>
      </c>
      <c r="N133" s="153">
        <f t="shared" si="54"/>
        <v>0</v>
      </c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</row>
    <row r="134" ht="21.0" customHeight="1">
      <c r="A134" s="147">
        <v>12.0</v>
      </c>
      <c r="B134" s="148" t="s">
        <v>28</v>
      </c>
      <c r="C134" s="150"/>
      <c r="D134" s="150"/>
      <c r="E134" s="149"/>
      <c r="F134" s="154">
        <v>7700.0</v>
      </c>
      <c r="G134" s="154">
        <f t="shared" si="50"/>
        <v>7700</v>
      </c>
      <c r="H134" s="153">
        <f t="shared" si="51"/>
        <v>0</v>
      </c>
      <c r="I134" s="150"/>
      <c r="J134" s="150"/>
      <c r="K134" s="223"/>
      <c r="L134" s="154">
        <v>9600.0</v>
      </c>
      <c r="M134" s="150">
        <f>7500+1500+600</f>
        <v>9600</v>
      </c>
      <c r="N134" s="153">
        <f t="shared" si="54"/>
        <v>0</v>
      </c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</row>
    <row r="135" ht="21.0" customHeight="1">
      <c r="A135" s="147">
        <v>13.0</v>
      </c>
      <c r="B135" s="148" t="s">
        <v>29</v>
      </c>
      <c r="C135" s="150"/>
      <c r="D135" s="150"/>
      <c r="E135" s="149"/>
      <c r="F135" s="154">
        <v>7700.0</v>
      </c>
      <c r="G135" s="154">
        <f>5800+1500</f>
        <v>7300</v>
      </c>
      <c r="H135" s="155">
        <f t="shared" si="51"/>
        <v>400</v>
      </c>
      <c r="I135" s="150"/>
      <c r="J135" s="150"/>
      <c r="K135" s="223"/>
      <c r="L135" s="150"/>
      <c r="M135" s="150"/>
      <c r="N135" s="149">
        <f t="shared" si="54"/>
        <v>0</v>
      </c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</row>
    <row r="136" ht="21.0" customHeight="1">
      <c r="A136" s="147">
        <v>14.0</v>
      </c>
      <c r="B136" s="148" t="s">
        <v>30</v>
      </c>
      <c r="C136" s="154">
        <v>9200.0</v>
      </c>
      <c r="D136" s="154">
        <f>7400+400+1400</f>
        <v>9200</v>
      </c>
      <c r="E136" s="153">
        <f>C136-D136</f>
        <v>0</v>
      </c>
      <c r="F136" s="154">
        <v>7700.0</v>
      </c>
      <c r="G136" s="154">
        <f t="shared" ref="G136:G141" si="55">6200+1500</f>
        <v>7700</v>
      </c>
      <c r="H136" s="153">
        <f t="shared" si="51"/>
        <v>0</v>
      </c>
      <c r="I136" s="150"/>
      <c r="J136" s="150"/>
      <c r="K136" s="149"/>
      <c r="L136" s="150"/>
      <c r="M136" s="150"/>
      <c r="N136" s="149">
        <f t="shared" si="54"/>
        <v>0</v>
      </c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</row>
    <row r="137" ht="21.0" customHeight="1">
      <c r="A137" s="147">
        <v>15.0</v>
      </c>
      <c r="B137" s="148" t="s">
        <v>31</v>
      </c>
      <c r="C137" s="150"/>
      <c r="D137" s="150"/>
      <c r="E137" s="149"/>
      <c r="F137" s="154">
        <v>7700.0</v>
      </c>
      <c r="G137" s="150">
        <f t="shared" si="55"/>
        <v>7700</v>
      </c>
      <c r="H137" s="153">
        <f t="shared" si="51"/>
        <v>0</v>
      </c>
      <c r="I137" s="154">
        <v>31000.0</v>
      </c>
      <c r="J137" s="150">
        <f>16800+7500+1300+3600+1800</f>
        <v>31000</v>
      </c>
      <c r="K137" s="153">
        <f t="shared" ref="K137:K138" si="56">I137-J137</f>
        <v>0</v>
      </c>
      <c r="L137" s="150"/>
      <c r="M137" s="150"/>
      <c r="N137" s="149">
        <f t="shared" si="54"/>
        <v>0</v>
      </c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</row>
    <row r="138" ht="21.0" customHeight="1">
      <c r="A138" s="147">
        <v>16.0</v>
      </c>
      <c r="B138" s="148" t="s">
        <v>32</v>
      </c>
      <c r="C138" s="150"/>
      <c r="D138" s="150"/>
      <c r="E138" s="149"/>
      <c r="F138" s="154">
        <v>7700.0</v>
      </c>
      <c r="G138" s="150">
        <f t="shared" si="55"/>
        <v>7700</v>
      </c>
      <c r="H138" s="153">
        <f t="shared" si="51"/>
        <v>0</v>
      </c>
      <c r="I138" s="154">
        <v>31000.0</v>
      </c>
      <c r="J138" s="150">
        <f>16800+1300+3600+7500+1800</f>
        <v>31000</v>
      </c>
      <c r="K138" s="153">
        <f t="shared" si="56"/>
        <v>0</v>
      </c>
      <c r="L138" s="150"/>
      <c r="M138" s="150"/>
      <c r="N138" s="149">
        <f t="shared" si="54"/>
        <v>0</v>
      </c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</row>
    <row r="139" ht="21.0" customHeight="1">
      <c r="A139" s="147">
        <v>17.0</v>
      </c>
      <c r="B139" s="148" t="s">
        <v>33</v>
      </c>
      <c r="C139" s="150"/>
      <c r="D139" s="150"/>
      <c r="E139" s="149"/>
      <c r="F139" s="154">
        <v>7700.0</v>
      </c>
      <c r="G139" s="154">
        <f t="shared" si="55"/>
        <v>7700</v>
      </c>
      <c r="H139" s="153">
        <f t="shared" si="51"/>
        <v>0</v>
      </c>
      <c r="I139" s="150"/>
      <c r="J139" s="150"/>
      <c r="K139" s="149"/>
      <c r="L139" s="150"/>
      <c r="M139" s="150"/>
      <c r="N139" s="149">
        <f t="shared" si="54"/>
        <v>0</v>
      </c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</row>
    <row r="140" ht="18.75" customHeight="1">
      <c r="A140" s="147">
        <v>18.0</v>
      </c>
      <c r="B140" s="148" t="s">
        <v>34</v>
      </c>
      <c r="C140" s="154">
        <v>9200.0</v>
      </c>
      <c r="D140" s="150">
        <f t="shared" ref="D140:D141" si="57">400+1400+7400</f>
        <v>9200</v>
      </c>
      <c r="E140" s="153">
        <f t="shared" ref="E140:E141" si="58">C140-D140</f>
        <v>0</v>
      </c>
      <c r="F140" s="154">
        <v>7700.0</v>
      </c>
      <c r="G140" s="154">
        <f t="shared" si="55"/>
        <v>7700</v>
      </c>
      <c r="H140" s="153">
        <f t="shared" si="51"/>
        <v>0</v>
      </c>
      <c r="I140" s="150"/>
      <c r="J140" s="150"/>
      <c r="K140" s="149"/>
      <c r="L140" s="150"/>
      <c r="M140" s="150"/>
      <c r="N140" s="149">
        <f t="shared" si="54"/>
        <v>0</v>
      </c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</row>
    <row r="141" ht="21.0" customHeight="1">
      <c r="A141" s="147">
        <v>19.0</v>
      </c>
      <c r="B141" s="148" t="s">
        <v>35</v>
      </c>
      <c r="C141" s="154">
        <v>9200.0</v>
      </c>
      <c r="D141" s="150">
        <f t="shared" si="57"/>
        <v>9200</v>
      </c>
      <c r="E141" s="153">
        <f t="shared" si="58"/>
        <v>0</v>
      </c>
      <c r="F141" s="154">
        <v>7700.0</v>
      </c>
      <c r="G141" s="150">
        <f t="shared" si="55"/>
        <v>7700</v>
      </c>
      <c r="H141" s="153">
        <f t="shared" si="51"/>
        <v>0</v>
      </c>
      <c r="I141" s="150"/>
      <c r="J141" s="150"/>
      <c r="K141" s="149"/>
      <c r="L141" s="154">
        <v>9600.0</v>
      </c>
      <c r="M141" s="150">
        <f>7500+600+1500</f>
        <v>9600</v>
      </c>
      <c r="N141" s="153">
        <f t="shared" si="54"/>
        <v>0</v>
      </c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</row>
    <row r="142" ht="21.0" customHeight="1">
      <c r="A142" s="171"/>
      <c r="B142" s="21"/>
      <c r="C142" s="174">
        <f>SUM( C124:C141)</f>
        <v>55200</v>
      </c>
      <c r="D142" s="172">
        <f>SUM(D125:D141)</f>
        <v>55200</v>
      </c>
      <c r="E142" s="173">
        <f>SUM(E124:E141)</f>
        <v>0</v>
      </c>
      <c r="F142" s="174">
        <f>SUM(F119:F141)</f>
        <v>138600</v>
      </c>
      <c r="G142" s="192">
        <f>SUM(G124:G141)</f>
        <v>138200</v>
      </c>
      <c r="H142" s="173">
        <f>SUM(H119:H141)</f>
        <v>400</v>
      </c>
      <c r="I142" s="173">
        <f t="shared" ref="I142:N142" si="59">SUM(I125:I141)</f>
        <v>155000</v>
      </c>
      <c r="J142" s="173">
        <f t="shared" si="59"/>
        <v>155000</v>
      </c>
      <c r="K142" s="173">
        <f t="shared" si="59"/>
        <v>0</v>
      </c>
      <c r="L142" s="173">
        <f t="shared" si="59"/>
        <v>86400</v>
      </c>
      <c r="M142" s="173">
        <f t="shared" si="59"/>
        <v>86400</v>
      </c>
      <c r="N142" s="173">
        <f t="shared" si="59"/>
        <v>0</v>
      </c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</row>
    <row r="143" ht="21.0" customHeight="1">
      <c r="A143" s="193"/>
      <c r="B143" s="193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</row>
    <row r="144" ht="21.0" customHeight="1">
      <c r="A144" s="193"/>
      <c r="B144" s="193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</row>
    <row r="145" ht="21.0" customHeight="1">
      <c r="A145" s="193"/>
      <c r="B145" s="193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</row>
    <row r="146" ht="21.0" customHeight="1">
      <c r="A146" s="131" t="s">
        <v>91</v>
      </c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</row>
    <row r="147" ht="21.0" customHeight="1">
      <c r="A147" s="131" t="s">
        <v>92</v>
      </c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</row>
    <row r="148" ht="21.0" customHeight="1">
      <c r="A148" s="133" t="s">
        <v>4</v>
      </c>
      <c r="B148" s="133" t="s">
        <v>5</v>
      </c>
      <c r="C148" s="240" t="s">
        <v>127</v>
      </c>
      <c r="D148" s="7"/>
      <c r="E148" s="8"/>
      <c r="F148" s="135" t="s">
        <v>128</v>
      </c>
      <c r="G148" s="7"/>
      <c r="H148" s="8"/>
      <c r="I148" s="241" t="s">
        <v>129</v>
      </c>
      <c r="J148" s="7"/>
      <c r="K148" s="8"/>
      <c r="L148" s="241" t="s">
        <v>129</v>
      </c>
      <c r="M148" s="7"/>
      <c r="N148" s="8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</row>
    <row r="149" ht="21.0" customHeight="1">
      <c r="A149" s="12"/>
      <c r="B149" s="12"/>
      <c r="C149" s="14"/>
      <c r="D149" s="15"/>
      <c r="E149" s="16"/>
      <c r="F149" s="14"/>
      <c r="G149" s="15"/>
      <c r="H149" s="16"/>
      <c r="I149" s="242" t="s">
        <v>130</v>
      </c>
      <c r="K149" s="13"/>
      <c r="L149" s="242" t="s">
        <v>131</v>
      </c>
      <c r="N149" s="13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</row>
    <row r="150" ht="21.0" customHeight="1">
      <c r="A150" s="12"/>
      <c r="B150" s="12"/>
      <c r="C150" s="140" t="s">
        <v>114</v>
      </c>
      <c r="E150" s="13"/>
      <c r="F150" s="140" t="s">
        <v>114</v>
      </c>
      <c r="H150" s="13"/>
      <c r="I150" s="243" t="s">
        <v>114</v>
      </c>
      <c r="J150" s="15"/>
      <c r="K150" s="16"/>
      <c r="L150" s="243" t="s">
        <v>114</v>
      </c>
      <c r="M150" s="15"/>
      <c r="N150" s="1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</row>
    <row r="151" ht="21.0" customHeight="1">
      <c r="A151" s="22"/>
      <c r="B151" s="22"/>
      <c r="C151" s="144" t="s">
        <v>13</v>
      </c>
      <c r="D151" s="144" t="s">
        <v>14</v>
      </c>
      <c r="E151" s="144" t="s">
        <v>15</v>
      </c>
      <c r="F151" s="144" t="s">
        <v>13</v>
      </c>
      <c r="G151" s="144" t="s">
        <v>14</v>
      </c>
      <c r="H151" s="144" t="s">
        <v>15</v>
      </c>
      <c r="I151" s="244" t="s">
        <v>13</v>
      </c>
      <c r="J151" s="244" t="s">
        <v>14</v>
      </c>
      <c r="K151" s="244" t="s">
        <v>15</v>
      </c>
      <c r="L151" s="244" t="s">
        <v>13</v>
      </c>
      <c r="M151" s="244" t="s">
        <v>14</v>
      </c>
      <c r="N151" s="244" t="s">
        <v>15</v>
      </c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</row>
    <row r="152" ht="21.0" customHeight="1">
      <c r="A152" s="147">
        <v>1.0</v>
      </c>
      <c r="B152" s="148" t="s">
        <v>17</v>
      </c>
      <c r="C152" s="150"/>
      <c r="D152" s="150"/>
      <c r="E152" s="149"/>
      <c r="F152" s="154"/>
      <c r="G152" s="154"/>
      <c r="H152" s="199"/>
      <c r="I152" s="154"/>
      <c r="J152" s="154"/>
      <c r="K152" s="199"/>
      <c r="L152" s="154">
        <v>8700.0</v>
      </c>
      <c r="M152" s="154">
        <f>4650+4050</f>
        <v>8700</v>
      </c>
      <c r="N152" s="153">
        <f>L152-M152</f>
        <v>0</v>
      </c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</row>
    <row r="153" ht="21.0" customHeight="1">
      <c r="A153" s="147">
        <v>2.0</v>
      </c>
      <c r="B153" s="159" t="s">
        <v>18</v>
      </c>
      <c r="C153" s="154">
        <v>4500.0</v>
      </c>
      <c r="D153" s="154">
        <f t="shared" ref="D153:D155" si="60">3420+1080</f>
        <v>4500</v>
      </c>
      <c r="E153" s="153">
        <f t="shared" ref="E153:E170" si="61">C153-D153</f>
        <v>0</v>
      </c>
      <c r="F153" s="154">
        <v>110500.0</v>
      </c>
      <c r="G153" s="154">
        <f>52000+58500</f>
        <v>110500</v>
      </c>
      <c r="H153" s="153">
        <f>F153-G153</f>
        <v>0</v>
      </c>
      <c r="I153" s="154">
        <v>5100.0</v>
      </c>
      <c r="J153" s="154">
        <f t="shared" ref="J153:J158" si="62">3100+2000</f>
        <v>5100</v>
      </c>
      <c r="K153" s="245">
        <f t="shared" ref="K153:K171" si="63">I153-J153</f>
        <v>0</v>
      </c>
      <c r="L153" s="149"/>
      <c r="M153" s="150"/>
      <c r="N153" s="149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</row>
    <row r="154" ht="21.0" customHeight="1">
      <c r="A154" s="147">
        <v>3.0</v>
      </c>
      <c r="B154" s="148" t="s">
        <v>19</v>
      </c>
      <c r="C154" s="154">
        <v>4500.0</v>
      </c>
      <c r="D154" s="154">
        <f t="shared" si="60"/>
        <v>4500</v>
      </c>
      <c r="E154" s="153">
        <f t="shared" si="61"/>
        <v>0</v>
      </c>
      <c r="F154" s="150"/>
      <c r="G154" s="150"/>
      <c r="H154" s="149">
        <f t="shared" ref="H154:H155" si="64">SUM(F154:G154)</f>
        <v>0</v>
      </c>
      <c r="I154" s="154">
        <v>5100.0</v>
      </c>
      <c r="J154" s="154">
        <f t="shared" si="62"/>
        <v>5100</v>
      </c>
      <c r="K154" s="153">
        <f t="shared" si="63"/>
        <v>0</v>
      </c>
      <c r="L154" s="206"/>
      <c r="M154" s="206"/>
      <c r="N154" s="206"/>
      <c r="O154" s="136"/>
      <c r="P154" s="136"/>
      <c r="R154" s="136"/>
      <c r="S154" s="136"/>
      <c r="T154" s="136"/>
      <c r="U154" s="136"/>
      <c r="V154" s="136"/>
      <c r="W154" s="136"/>
      <c r="X154" s="136"/>
      <c r="Y154" s="136"/>
    </row>
    <row r="155" ht="21.0" customHeight="1">
      <c r="A155" s="147">
        <v>4.0</v>
      </c>
      <c r="B155" s="148" t="s">
        <v>20</v>
      </c>
      <c r="C155" s="154">
        <v>4500.0</v>
      </c>
      <c r="D155" s="154">
        <f t="shared" si="60"/>
        <v>4500</v>
      </c>
      <c r="E155" s="153">
        <f t="shared" si="61"/>
        <v>0</v>
      </c>
      <c r="F155" s="150"/>
      <c r="G155" s="150"/>
      <c r="H155" s="149">
        <f t="shared" si="64"/>
        <v>0</v>
      </c>
      <c r="I155" s="154">
        <v>5100.0</v>
      </c>
      <c r="J155" s="154">
        <f t="shared" si="62"/>
        <v>5100</v>
      </c>
      <c r="K155" s="153">
        <f t="shared" si="63"/>
        <v>0</v>
      </c>
      <c r="L155" s="150"/>
      <c r="M155" s="150"/>
      <c r="N155" s="149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</row>
    <row r="156" ht="21.0" customHeight="1">
      <c r="A156" s="147">
        <v>5.0</v>
      </c>
      <c r="B156" s="148" t="s">
        <v>21</v>
      </c>
      <c r="C156" s="154">
        <v>9000.0</v>
      </c>
      <c r="D156" s="154">
        <f>6840+2160</f>
        <v>9000</v>
      </c>
      <c r="E156" s="153">
        <f t="shared" si="61"/>
        <v>0</v>
      </c>
      <c r="F156" s="154">
        <v>22100.0</v>
      </c>
      <c r="G156" s="154">
        <f>10400+11700</f>
        <v>22100</v>
      </c>
      <c r="H156" s="153">
        <f>F156-G156</f>
        <v>0</v>
      </c>
      <c r="I156" s="154">
        <v>5100.0</v>
      </c>
      <c r="J156" s="154">
        <f t="shared" si="62"/>
        <v>5100</v>
      </c>
      <c r="K156" s="153">
        <f t="shared" si="63"/>
        <v>0</v>
      </c>
      <c r="L156" s="150"/>
      <c r="M156" s="150"/>
      <c r="N156" s="149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</row>
    <row r="157" ht="21.0" customHeight="1">
      <c r="A157" s="147">
        <v>6.0</v>
      </c>
      <c r="B157" s="148" t="s">
        <v>22</v>
      </c>
      <c r="C157" s="154">
        <v>4500.0</v>
      </c>
      <c r="D157" s="154">
        <f t="shared" ref="D157:D163" si="65">3420+1080</f>
        <v>4500</v>
      </c>
      <c r="E157" s="153">
        <f t="shared" si="61"/>
        <v>0</v>
      </c>
      <c r="F157" s="150"/>
      <c r="G157" s="150"/>
      <c r="H157" s="149">
        <f t="shared" ref="H157:H159" si="66">SUM(F157:G157)</f>
        <v>0</v>
      </c>
      <c r="I157" s="154">
        <v>5100.0</v>
      </c>
      <c r="J157" s="154">
        <f t="shared" si="62"/>
        <v>5100</v>
      </c>
      <c r="K157" s="153">
        <f t="shared" si="63"/>
        <v>0</v>
      </c>
      <c r="L157" s="150"/>
      <c r="M157" s="150"/>
      <c r="N157" s="149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</row>
    <row r="158" ht="21.0" customHeight="1">
      <c r="A158" s="147">
        <v>7.0</v>
      </c>
      <c r="B158" s="148" t="s">
        <v>23</v>
      </c>
      <c r="C158" s="154">
        <v>4500.0</v>
      </c>
      <c r="D158" s="154">
        <f t="shared" si="65"/>
        <v>4500</v>
      </c>
      <c r="E158" s="153">
        <f t="shared" si="61"/>
        <v>0</v>
      </c>
      <c r="F158" s="150"/>
      <c r="G158" s="150"/>
      <c r="H158" s="149">
        <f t="shared" si="66"/>
        <v>0</v>
      </c>
      <c r="I158" s="154">
        <v>5100.0</v>
      </c>
      <c r="J158" s="154">
        <f t="shared" si="62"/>
        <v>5100</v>
      </c>
      <c r="K158" s="153">
        <f t="shared" si="63"/>
        <v>0</v>
      </c>
      <c r="L158" s="150"/>
      <c r="M158" s="150"/>
      <c r="N158" s="149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</row>
    <row r="159" ht="21.0" customHeight="1">
      <c r="A159" s="170">
        <v>8.0</v>
      </c>
      <c r="B159" s="148" t="s">
        <v>24</v>
      </c>
      <c r="C159" s="154">
        <v>4500.0</v>
      </c>
      <c r="D159" s="154">
        <f t="shared" si="65"/>
        <v>4500</v>
      </c>
      <c r="E159" s="207">
        <f t="shared" si="61"/>
        <v>0</v>
      </c>
      <c r="F159" s="150"/>
      <c r="G159" s="150"/>
      <c r="H159" s="149">
        <f t="shared" si="66"/>
        <v>0</v>
      </c>
      <c r="I159" s="154">
        <v>5100.0</v>
      </c>
      <c r="J159" s="154">
        <f>2000+3100</f>
        <v>5100</v>
      </c>
      <c r="K159" s="153">
        <f t="shared" si="63"/>
        <v>0</v>
      </c>
      <c r="L159" s="150"/>
      <c r="M159" s="150"/>
      <c r="N159" s="149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</row>
    <row r="160" ht="21.0" customHeight="1">
      <c r="A160" s="147">
        <v>9.0</v>
      </c>
      <c r="B160" s="148" t="s">
        <v>25</v>
      </c>
      <c r="C160" s="154">
        <v>4500.0</v>
      </c>
      <c r="D160" s="154">
        <f t="shared" si="65"/>
        <v>4500</v>
      </c>
      <c r="E160" s="153">
        <f t="shared" si="61"/>
        <v>0</v>
      </c>
      <c r="F160" s="154">
        <v>22100.0</v>
      </c>
      <c r="G160" s="150">
        <f>10400+11700</f>
        <v>22100</v>
      </c>
      <c r="H160" s="153">
        <f>F160-G160</f>
        <v>0</v>
      </c>
      <c r="I160" s="154">
        <v>5100.0</v>
      </c>
      <c r="J160" s="154">
        <f t="shared" ref="J160:J161" si="67">3100+2000</f>
        <v>5100</v>
      </c>
      <c r="K160" s="153">
        <f t="shared" si="63"/>
        <v>0</v>
      </c>
      <c r="L160" s="150"/>
      <c r="M160" s="150"/>
      <c r="N160" s="149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</row>
    <row r="161" ht="21.0" customHeight="1">
      <c r="A161" s="147">
        <v>10.0</v>
      </c>
      <c r="B161" s="148" t="s">
        <v>26</v>
      </c>
      <c r="C161" s="154">
        <v>4500.0</v>
      </c>
      <c r="D161" s="154">
        <f t="shared" si="65"/>
        <v>4500</v>
      </c>
      <c r="E161" s="153">
        <f t="shared" si="61"/>
        <v>0</v>
      </c>
      <c r="F161" s="150"/>
      <c r="G161" s="150"/>
      <c r="H161" s="149">
        <f t="shared" ref="H161:H169" si="68">SUM(F161:G161)</f>
        <v>0</v>
      </c>
      <c r="I161" s="154">
        <v>5100.0</v>
      </c>
      <c r="J161" s="154">
        <f t="shared" si="67"/>
        <v>5100</v>
      </c>
      <c r="K161" s="153">
        <f t="shared" si="63"/>
        <v>0</v>
      </c>
      <c r="L161" s="150"/>
      <c r="M161" s="150"/>
      <c r="N161" s="149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</row>
    <row r="162" ht="21.0" customHeight="1">
      <c r="A162" s="147">
        <v>11.0</v>
      </c>
      <c r="B162" s="148" t="s">
        <v>27</v>
      </c>
      <c r="C162" s="154">
        <v>4500.0</v>
      </c>
      <c r="D162" s="246">
        <f t="shared" si="65"/>
        <v>4500</v>
      </c>
      <c r="E162" s="153">
        <f t="shared" si="61"/>
        <v>0</v>
      </c>
      <c r="F162" s="150"/>
      <c r="G162" s="150"/>
      <c r="H162" s="149">
        <f t="shared" si="68"/>
        <v>0</v>
      </c>
      <c r="I162" s="154">
        <v>5100.0</v>
      </c>
      <c r="J162" s="150">
        <f>2000+3100</f>
        <v>5100</v>
      </c>
      <c r="K162" s="153">
        <f t="shared" si="63"/>
        <v>0</v>
      </c>
      <c r="L162" s="150"/>
      <c r="M162" s="150"/>
      <c r="N162" s="149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</row>
    <row r="163" ht="21.0" customHeight="1">
      <c r="A163" s="147">
        <v>12.0</v>
      </c>
      <c r="B163" s="148" t="s">
        <v>28</v>
      </c>
      <c r="C163" s="154">
        <v>4500.0</v>
      </c>
      <c r="D163" s="154">
        <f t="shared" si="65"/>
        <v>4500</v>
      </c>
      <c r="E163" s="153">
        <f t="shared" si="61"/>
        <v>0</v>
      </c>
      <c r="F163" s="150"/>
      <c r="G163" s="150"/>
      <c r="H163" s="149">
        <f t="shared" si="68"/>
        <v>0</v>
      </c>
      <c r="I163" s="154">
        <v>5100.0</v>
      </c>
      <c r="J163" s="154">
        <f>3100+2000</f>
        <v>5100</v>
      </c>
      <c r="K163" s="153">
        <f t="shared" si="63"/>
        <v>0</v>
      </c>
      <c r="L163" s="150"/>
      <c r="M163" s="150"/>
      <c r="N163" s="149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</row>
    <row r="164" ht="21.0" customHeight="1">
      <c r="A164" s="147">
        <v>13.0</v>
      </c>
      <c r="B164" s="148" t="s">
        <v>29</v>
      </c>
      <c r="C164" s="154">
        <v>4500.0</v>
      </c>
      <c r="D164" s="154">
        <f>3060+1080</f>
        <v>4140</v>
      </c>
      <c r="E164" s="155">
        <f t="shared" si="61"/>
        <v>360</v>
      </c>
      <c r="F164" s="150"/>
      <c r="G164" s="150"/>
      <c r="H164" s="149">
        <f t="shared" si="68"/>
        <v>0</v>
      </c>
      <c r="I164" s="154">
        <v>5100.0</v>
      </c>
      <c r="J164" s="154">
        <v>2700.0</v>
      </c>
      <c r="K164" s="247">
        <f t="shared" si="63"/>
        <v>2400</v>
      </c>
      <c r="L164" s="150"/>
      <c r="M164" s="150"/>
      <c r="N164" s="149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</row>
    <row r="165" ht="21.0" customHeight="1">
      <c r="A165" s="147">
        <v>14.0</v>
      </c>
      <c r="B165" s="148" t="s">
        <v>30</v>
      </c>
      <c r="C165" s="154"/>
      <c r="D165" s="150"/>
      <c r="E165" s="199">
        <f t="shared" si="61"/>
        <v>0</v>
      </c>
      <c r="F165" s="150"/>
      <c r="G165" s="150"/>
      <c r="H165" s="149">
        <f t="shared" si="68"/>
        <v>0</v>
      </c>
      <c r="I165" s="154">
        <v>5100.0</v>
      </c>
      <c r="J165" s="154">
        <f t="shared" ref="J165:J170" si="69">3100+2000</f>
        <v>5100</v>
      </c>
      <c r="K165" s="153">
        <f t="shared" si="63"/>
        <v>0</v>
      </c>
      <c r="L165" s="150"/>
      <c r="M165" s="150"/>
      <c r="N165" s="149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</row>
    <row r="166" ht="21.0" customHeight="1">
      <c r="A166" s="147">
        <v>15.0</v>
      </c>
      <c r="B166" s="148" t="s">
        <v>31</v>
      </c>
      <c r="C166" s="154">
        <v>4500.0</v>
      </c>
      <c r="D166" s="154">
        <f t="shared" ref="D166:D170" si="70">3420+1080</f>
        <v>4500</v>
      </c>
      <c r="E166" s="153">
        <f t="shared" si="61"/>
        <v>0</v>
      </c>
      <c r="F166" s="150"/>
      <c r="G166" s="154" t="s">
        <v>98</v>
      </c>
      <c r="H166" s="149">
        <f t="shared" si="68"/>
        <v>0</v>
      </c>
      <c r="I166" s="154">
        <v>5100.0</v>
      </c>
      <c r="J166" s="154">
        <f t="shared" si="69"/>
        <v>5100</v>
      </c>
      <c r="K166" s="153">
        <f t="shared" si="63"/>
        <v>0</v>
      </c>
      <c r="L166" s="150"/>
      <c r="M166" s="150"/>
      <c r="N166" s="149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</row>
    <row r="167" ht="18.75" customHeight="1">
      <c r="A167" s="147">
        <v>16.0</v>
      </c>
      <c r="B167" s="148" t="s">
        <v>32</v>
      </c>
      <c r="C167" s="154">
        <v>4500.0</v>
      </c>
      <c r="D167" s="154">
        <f t="shared" si="70"/>
        <v>4500</v>
      </c>
      <c r="E167" s="153">
        <f t="shared" si="61"/>
        <v>0</v>
      </c>
      <c r="F167" s="150"/>
      <c r="G167" s="150"/>
      <c r="H167" s="149">
        <f t="shared" si="68"/>
        <v>0</v>
      </c>
      <c r="I167" s="154">
        <v>5100.0</v>
      </c>
      <c r="J167" s="154">
        <f t="shared" si="69"/>
        <v>5100</v>
      </c>
      <c r="K167" s="153">
        <f t="shared" si="63"/>
        <v>0</v>
      </c>
      <c r="L167" s="150"/>
      <c r="M167" s="150"/>
      <c r="N167" s="149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</row>
    <row r="168" ht="21.0" customHeight="1">
      <c r="A168" s="147">
        <v>17.0</v>
      </c>
      <c r="B168" s="148" t="s">
        <v>33</v>
      </c>
      <c r="C168" s="154">
        <v>4500.0</v>
      </c>
      <c r="D168" s="154">
        <f t="shared" si="70"/>
        <v>4500</v>
      </c>
      <c r="E168" s="153">
        <f t="shared" si="61"/>
        <v>0</v>
      </c>
      <c r="F168" s="150"/>
      <c r="G168" s="150"/>
      <c r="H168" s="149">
        <f t="shared" si="68"/>
        <v>0</v>
      </c>
      <c r="I168" s="154">
        <v>5100.0</v>
      </c>
      <c r="J168" s="154">
        <f t="shared" si="69"/>
        <v>5100</v>
      </c>
      <c r="K168" s="153">
        <f t="shared" si="63"/>
        <v>0</v>
      </c>
      <c r="L168" s="154"/>
      <c r="M168" s="150"/>
      <c r="N168" s="149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</row>
    <row r="169" ht="21.0" customHeight="1">
      <c r="A169" s="147">
        <v>18.0</v>
      </c>
      <c r="B169" s="148" t="s">
        <v>34</v>
      </c>
      <c r="C169" s="154">
        <v>4500.0</v>
      </c>
      <c r="D169" s="154">
        <f t="shared" si="70"/>
        <v>4500</v>
      </c>
      <c r="E169" s="153">
        <f t="shared" si="61"/>
        <v>0</v>
      </c>
      <c r="F169" s="150"/>
      <c r="G169" s="248"/>
      <c r="H169" s="149">
        <f t="shared" si="68"/>
        <v>0</v>
      </c>
      <c r="I169" s="154">
        <v>5100.0</v>
      </c>
      <c r="J169" s="154">
        <f t="shared" si="69"/>
        <v>5100</v>
      </c>
      <c r="K169" s="153">
        <f t="shared" si="63"/>
        <v>0</v>
      </c>
      <c r="L169" s="150"/>
      <c r="M169" s="150"/>
      <c r="N169" s="149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</row>
    <row r="170" ht="21.0" customHeight="1">
      <c r="A170" s="147">
        <v>19.0</v>
      </c>
      <c r="B170" s="148" t="s">
        <v>35</v>
      </c>
      <c r="C170" s="154">
        <v>4500.0</v>
      </c>
      <c r="D170" s="154">
        <f t="shared" si="70"/>
        <v>4500</v>
      </c>
      <c r="E170" s="153">
        <f t="shared" si="61"/>
        <v>0</v>
      </c>
      <c r="F170" s="154">
        <v>88400.0</v>
      </c>
      <c r="G170" s="154">
        <f>41600+46800</f>
        <v>88400</v>
      </c>
      <c r="H170" s="153">
        <f>F170-G170</f>
        <v>0</v>
      </c>
      <c r="I170" s="154">
        <v>5100.0</v>
      </c>
      <c r="J170" s="154">
        <f t="shared" si="69"/>
        <v>5100</v>
      </c>
      <c r="K170" s="207">
        <f t="shared" si="63"/>
        <v>0</v>
      </c>
      <c r="L170" s="150"/>
      <c r="M170" s="150"/>
      <c r="N170" s="149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</row>
    <row r="171" ht="21.0" customHeight="1">
      <c r="A171" s="171"/>
      <c r="B171" s="21"/>
      <c r="C171" s="174">
        <f t="shared" ref="C171:F171" si="71">SUM(C153:C170)</f>
        <v>81000</v>
      </c>
      <c r="D171" s="172">
        <f t="shared" si="71"/>
        <v>80640</v>
      </c>
      <c r="E171" s="173">
        <f t="shared" si="71"/>
        <v>360</v>
      </c>
      <c r="F171" s="174">
        <f t="shared" si="71"/>
        <v>243100</v>
      </c>
      <c r="G171" s="172">
        <f>SUM(G152:G170)</f>
        <v>243100</v>
      </c>
      <c r="H171" s="173">
        <f t="shared" ref="H171:J171" si="72">SUM(H153:H170)</f>
        <v>0</v>
      </c>
      <c r="I171" s="174">
        <f t="shared" si="72"/>
        <v>91800</v>
      </c>
      <c r="J171" s="192">
        <f t="shared" si="72"/>
        <v>89400</v>
      </c>
      <c r="K171" s="173">
        <f t="shared" si="63"/>
        <v>2400</v>
      </c>
      <c r="L171" s="174">
        <f>SUM(L152)</f>
        <v>8700</v>
      </c>
      <c r="M171" s="192"/>
      <c r="N171" s="173">
        <f>SUM(N152)</f>
        <v>0</v>
      </c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</row>
    <row r="172" ht="21.0" customHeight="1">
      <c r="A172" s="193"/>
      <c r="B172" s="193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</row>
    <row r="173" ht="21.0" customHeight="1"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</row>
    <row r="174" ht="21.0" customHeight="1"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</row>
    <row r="175" ht="21.0" customHeight="1">
      <c r="A175" s="131" t="s">
        <v>91</v>
      </c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</row>
    <row r="176" ht="21.0" customHeight="1">
      <c r="A176" s="131" t="s">
        <v>132</v>
      </c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</row>
    <row r="177" ht="21.0" customHeight="1">
      <c r="A177" s="133" t="s">
        <v>4</v>
      </c>
      <c r="B177" s="133" t="s">
        <v>5</v>
      </c>
      <c r="C177" s="249" t="s">
        <v>133</v>
      </c>
      <c r="D177" s="7"/>
      <c r="E177" s="8"/>
      <c r="F177" s="249" t="s">
        <v>134</v>
      </c>
      <c r="G177" s="7"/>
      <c r="H177" s="8"/>
      <c r="I177" s="250" t="s">
        <v>135</v>
      </c>
      <c r="J177" s="7"/>
      <c r="K177" s="8"/>
      <c r="L177" s="250" t="s">
        <v>136</v>
      </c>
      <c r="M177" s="7"/>
      <c r="N177" s="8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</row>
    <row r="178" ht="21.0" customHeight="1">
      <c r="A178" s="12"/>
      <c r="B178" s="12"/>
      <c r="C178" s="14"/>
      <c r="D178" s="15"/>
      <c r="E178" s="16"/>
      <c r="F178" s="14"/>
      <c r="G178" s="15"/>
      <c r="H178" s="16"/>
      <c r="I178" s="14"/>
      <c r="J178" s="15"/>
      <c r="K178" s="16"/>
      <c r="L178" s="14"/>
      <c r="M178" s="15"/>
      <c r="N178" s="1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</row>
    <row r="179" ht="21.0" customHeight="1">
      <c r="A179" s="12"/>
      <c r="B179" s="12"/>
      <c r="C179" s="139" t="s">
        <v>114</v>
      </c>
      <c r="D179" s="7"/>
      <c r="E179" s="8"/>
      <c r="F179" s="139" t="s">
        <v>114</v>
      </c>
      <c r="G179" s="7"/>
      <c r="H179" s="8"/>
      <c r="I179" s="139" t="s">
        <v>114</v>
      </c>
      <c r="J179" s="7"/>
      <c r="K179" s="8"/>
      <c r="L179" s="142" t="s">
        <v>114</v>
      </c>
      <c r="M179" s="15"/>
      <c r="N179" s="1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</row>
    <row r="180" ht="21.0" customHeight="1">
      <c r="A180" s="22"/>
      <c r="B180" s="22"/>
      <c r="C180" s="144" t="s">
        <v>13</v>
      </c>
      <c r="D180" s="144" t="s">
        <v>14</v>
      </c>
      <c r="E180" s="144" t="s">
        <v>15</v>
      </c>
      <c r="F180" s="144"/>
      <c r="G180" s="144"/>
      <c r="H180" s="144"/>
      <c r="I180" s="144" t="s">
        <v>13</v>
      </c>
      <c r="J180" s="144" t="s">
        <v>14</v>
      </c>
      <c r="K180" s="144" t="s">
        <v>15</v>
      </c>
      <c r="L180" s="144" t="s">
        <v>13</v>
      </c>
      <c r="M180" s="144" t="s">
        <v>14</v>
      </c>
      <c r="N180" s="144" t="s">
        <v>15</v>
      </c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</row>
    <row r="181" ht="21.0" customHeight="1">
      <c r="A181" s="147">
        <v>1.0</v>
      </c>
      <c r="B181" s="148" t="s">
        <v>17</v>
      </c>
      <c r="C181" s="251"/>
      <c r="D181" s="206"/>
      <c r="E181" s="252"/>
      <c r="F181" s="253"/>
      <c r="G181" s="206"/>
      <c r="H181" s="206"/>
      <c r="I181" s="254">
        <v>11700.0</v>
      </c>
      <c r="J181" s="151">
        <f>8550+3150</f>
        <v>11700</v>
      </c>
      <c r="K181" s="153">
        <f>I181-J181</f>
        <v>0</v>
      </c>
      <c r="L181" s="150"/>
      <c r="M181" s="150"/>
      <c r="N181" s="149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</row>
    <row r="182" ht="21.0" customHeight="1">
      <c r="A182" s="147">
        <v>2.0</v>
      </c>
      <c r="B182" s="159" t="s">
        <v>18</v>
      </c>
      <c r="C182" s="251">
        <v>14700.0</v>
      </c>
      <c r="D182" s="255">
        <f>9300+3900+1500</f>
        <v>14700</v>
      </c>
      <c r="E182" s="256" t="s">
        <v>115</v>
      </c>
      <c r="F182" s="253">
        <v>18500.0</v>
      </c>
      <c r="G182" s="223">
        <f>1800+16700</f>
        <v>18500</v>
      </c>
      <c r="H182" s="257">
        <f t="shared" ref="H182:H190" si="73">F182-G182</f>
        <v>0</v>
      </c>
      <c r="I182" s="258"/>
      <c r="J182" s="258"/>
      <c r="K182" s="259"/>
      <c r="L182" s="154">
        <v>7800.0</v>
      </c>
      <c r="M182" s="154">
        <f t="shared" ref="M182:M185" si="74">5700+600+1500</f>
        <v>7800</v>
      </c>
      <c r="N182" s="153">
        <f t="shared" ref="N182:N200" si="75">L182-M182</f>
        <v>0</v>
      </c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</row>
    <row r="183" ht="21.0" customHeight="1">
      <c r="A183" s="147">
        <v>3.0</v>
      </c>
      <c r="B183" s="148" t="s">
        <v>19</v>
      </c>
      <c r="C183" s="251">
        <v>14700.0</v>
      </c>
      <c r="D183" s="160">
        <f t="shared" ref="D183:D184" si="76">9300+1500+3900</f>
        <v>14700</v>
      </c>
      <c r="E183" s="260">
        <f>C183-D183</f>
        <v>0</v>
      </c>
      <c r="F183" s="253">
        <v>18500.0</v>
      </c>
      <c r="G183" s="149">
        <f>16300+2200</f>
        <v>18500</v>
      </c>
      <c r="H183" s="257">
        <f t="shared" si="73"/>
        <v>0</v>
      </c>
      <c r="I183" s="258"/>
      <c r="J183" s="258"/>
      <c r="K183" s="259"/>
      <c r="L183" s="154">
        <v>7800.0</v>
      </c>
      <c r="M183" s="154">
        <f t="shared" si="74"/>
        <v>7800</v>
      </c>
      <c r="N183" s="153">
        <f t="shared" si="75"/>
        <v>0</v>
      </c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</row>
    <row r="184" ht="21.0" customHeight="1">
      <c r="A184" s="147">
        <v>4.0</v>
      </c>
      <c r="B184" s="148" t="s">
        <v>20</v>
      </c>
      <c r="C184" s="251">
        <v>14700.0</v>
      </c>
      <c r="D184" s="160">
        <f t="shared" si="76"/>
        <v>14700</v>
      </c>
      <c r="E184" s="256" t="s">
        <v>115</v>
      </c>
      <c r="F184" s="253">
        <v>18500.0</v>
      </c>
      <c r="G184" s="149">
        <f>17000+1500</f>
        <v>18500</v>
      </c>
      <c r="H184" s="257">
        <f t="shared" si="73"/>
        <v>0</v>
      </c>
      <c r="I184" s="258"/>
      <c r="J184" s="258"/>
      <c r="K184" s="259"/>
      <c r="L184" s="154">
        <v>7800.0</v>
      </c>
      <c r="M184" s="154">
        <f t="shared" si="74"/>
        <v>7800</v>
      </c>
      <c r="N184" s="153">
        <f t="shared" si="75"/>
        <v>0</v>
      </c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</row>
    <row r="185" ht="21.0" customHeight="1">
      <c r="A185" s="147">
        <v>5.0</v>
      </c>
      <c r="B185" s="148" t="s">
        <v>21</v>
      </c>
      <c r="C185" s="251">
        <v>14700.0</v>
      </c>
      <c r="D185" s="160">
        <f t="shared" ref="D185:D187" si="77">9300+3900+1500</f>
        <v>14700</v>
      </c>
      <c r="E185" s="256" t="s">
        <v>115</v>
      </c>
      <c r="F185" s="253">
        <v>18500.0</v>
      </c>
      <c r="G185" s="149">
        <f>1030+15770+1700</f>
        <v>18500</v>
      </c>
      <c r="H185" s="257">
        <f t="shared" si="73"/>
        <v>0</v>
      </c>
      <c r="I185" s="258"/>
      <c r="J185" s="258"/>
      <c r="K185" s="259"/>
      <c r="L185" s="154">
        <v>7800.0</v>
      </c>
      <c r="M185" s="154">
        <f t="shared" si="74"/>
        <v>7800</v>
      </c>
      <c r="N185" s="153">
        <f t="shared" si="75"/>
        <v>0</v>
      </c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</row>
    <row r="186" ht="21.0" customHeight="1">
      <c r="A186" s="147">
        <v>6.0</v>
      </c>
      <c r="B186" s="148" t="s">
        <v>22</v>
      </c>
      <c r="C186" s="251">
        <v>14700.0</v>
      </c>
      <c r="D186" s="261">
        <f t="shared" si="77"/>
        <v>14700</v>
      </c>
      <c r="E186" s="256" t="s">
        <v>115</v>
      </c>
      <c r="F186" s="253">
        <v>18500.0</v>
      </c>
      <c r="G186" s="160">
        <v>18500.0</v>
      </c>
      <c r="H186" s="257">
        <f t="shared" si="73"/>
        <v>0</v>
      </c>
      <c r="I186" s="258"/>
      <c r="J186" s="258"/>
      <c r="K186" s="259"/>
      <c r="L186" s="154">
        <v>7800.0</v>
      </c>
      <c r="M186" s="154">
        <f>5700+2100</f>
        <v>7800</v>
      </c>
      <c r="N186" s="153">
        <f t="shared" si="75"/>
        <v>0</v>
      </c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</row>
    <row r="187" ht="21.0" customHeight="1">
      <c r="A187" s="147">
        <v>7.0</v>
      </c>
      <c r="B187" s="148" t="s">
        <v>23</v>
      </c>
      <c r="C187" s="251">
        <v>14700.0</v>
      </c>
      <c r="D187" s="262">
        <f t="shared" si="77"/>
        <v>14700</v>
      </c>
      <c r="E187" s="260">
        <f>C187-D187</f>
        <v>0</v>
      </c>
      <c r="F187" s="253">
        <v>18500.0</v>
      </c>
      <c r="G187" s="160">
        <f>8100+10030+370</f>
        <v>18500</v>
      </c>
      <c r="H187" s="257">
        <f t="shared" si="73"/>
        <v>0</v>
      </c>
      <c r="I187" s="258"/>
      <c r="J187" s="258"/>
      <c r="K187" s="259"/>
      <c r="L187" s="154">
        <v>7800.0</v>
      </c>
      <c r="M187" s="154">
        <f t="shared" ref="M187:M188" si="78">5700+1500+600</f>
        <v>7800</v>
      </c>
      <c r="N187" s="153">
        <f t="shared" si="75"/>
        <v>0</v>
      </c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</row>
    <row r="188" ht="21.0" customHeight="1">
      <c r="A188" s="147">
        <v>8.0</v>
      </c>
      <c r="B188" s="148" t="s">
        <v>24</v>
      </c>
      <c r="C188" s="251">
        <v>14700.0</v>
      </c>
      <c r="D188" s="261">
        <f t="shared" ref="D188:D190" si="79">9300+1500+3900</f>
        <v>14700</v>
      </c>
      <c r="E188" s="256" t="s">
        <v>115</v>
      </c>
      <c r="F188" s="253">
        <v>18500.0</v>
      </c>
      <c r="G188" s="149">
        <f>14900+3600</f>
        <v>18500</v>
      </c>
      <c r="H188" s="257">
        <f t="shared" si="73"/>
        <v>0</v>
      </c>
      <c r="I188" s="258"/>
      <c r="J188" s="258"/>
      <c r="K188" s="259"/>
      <c r="L188" s="154">
        <v>7800.0</v>
      </c>
      <c r="M188" s="154">
        <f t="shared" si="78"/>
        <v>7800</v>
      </c>
      <c r="N188" s="207">
        <f t="shared" si="75"/>
        <v>0</v>
      </c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</row>
    <row r="189" ht="21.0" customHeight="1">
      <c r="A189" s="147">
        <v>9.0</v>
      </c>
      <c r="B189" s="148" t="s">
        <v>25</v>
      </c>
      <c r="C189" s="251">
        <v>14700.0</v>
      </c>
      <c r="D189" s="262">
        <f t="shared" si="79"/>
        <v>14700</v>
      </c>
      <c r="E189" s="260">
        <f t="shared" ref="E189:E190" si="80">C189-D189</f>
        <v>0</v>
      </c>
      <c r="F189" s="253">
        <v>18500.0</v>
      </c>
      <c r="G189" s="149">
        <f>14650+2400+1450</f>
        <v>18500</v>
      </c>
      <c r="H189" s="257">
        <f t="shared" si="73"/>
        <v>0</v>
      </c>
      <c r="I189" s="258"/>
      <c r="J189" s="258"/>
      <c r="K189" s="259"/>
      <c r="L189" s="154">
        <v>7800.0</v>
      </c>
      <c r="M189" s="154">
        <f>5700+600+1500</f>
        <v>7800</v>
      </c>
      <c r="N189" s="153">
        <f t="shared" si="75"/>
        <v>0</v>
      </c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</row>
    <row r="190" ht="21.0" customHeight="1">
      <c r="A190" s="147">
        <v>10.0</v>
      </c>
      <c r="B190" s="148" t="s">
        <v>26</v>
      </c>
      <c r="C190" s="251">
        <v>14700.0</v>
      </c>
      <c r="D190" s="261">
        <f t="shared" si="79"/>
        <v>14700</v>
      </c>
      <c r="E190" s="260">
        <f t="shared" si="80"/>
        <v>0</v>
      </c>
      <c r="F190" s="253">
        <v>18500.0</v>
      </c>
      <c r="G190" s="149">
        <f>15350+3150</f>
        <v>18500</v>
      </c>
      <c r="H190" s="257">
        <f t="shared" si="73"/>
        <v>0</v>
      </c>
      <c r="I190" s="258"/>
      <c r="J190" s="258"/>
      <c r="K190" s="259"/>
      <c r="L190" s="154">
        <v>7800.0</v>
      </c>
      <c r="M190" s="154">
        <f t="shared" ref="M190:M192" si="81">5700+1500+600</f>
        <v>7800</v>
      </c>
      <c r="N190" s="153">
        <f t="shared" si="75"/>
        <v>0</v>
      </c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</row>
    <row r="191" ht="21.0" customHeight="1">
      <c r="A191" s="147">
        <v>11.0</v>
      </c>
      <c r="B191" s="148" t="s">
        <v>27</v>
      </c>
      <c r="C191" s="251"/>
      <c r="D191" s="263"/>
      <c r="E191" s="252"/>
      <c r="F191" s="264"/>
      <c r="G191" s="199"/>
      <c r="H191" s="264"/>
      <c r="I191" s="258"/>
      <c r="J191" s="258"/>
      <c r="K191" s="259"/>
      <c r="L191" s="154">
        <v>7800.0</v>
      </c>
      <c r="M191" s="154">
        <f t="shared" si="81"/>
        <v>7800</v>
      </c>
      <c r="N191" s="153">
        <f t="shared" si="75"/>
        <v>0</v>
      </c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</row>
    <row r="192" ht="21.0" customHeight="1">
      <c r="A192" s="147">
        <v>12.0</v>
      </c>
      <c r="B192" s="148" t="s">
        <v>28</v>
      </c>
      <c r="C192" s="251">
        <v>14700.0</v>
      </c>
      <c r="D192" s="261">
        <f>9300+1500+3900</f>
        <v>14700</v>
      </c>
      <c r="E192" s="260">
        <f t="shared" ref="E192:E193" si="82">C192-D192</f>
        <v>0</v>
      </c>
      <c r="F192" s="253">
        <v>18500.0</v>
      </c>
      <c r="G192" s="149">
        <f>1280+4350+12870</f>
        <v>18500</v>
      </c>
      <c r="H192" s="257">
        <f t="shared" ref="H192:H196" si="83">F192-G192</f>
        <v>0</v>
      </c>
      <c r="I192" s="258"/>
      <c r="J192" s="258"/>
      <c r="K192" s="259"/>
      <c r="L192" s="154">
        <v>7800.0</v>
      </c>
      <c r="M192" s="154">
        <f t="shared" si="81"/>
        <v>7800</v>
      </c>
      <c r="N192" s="153">
        <f t="shared" si="75"/>
        <v>0</v>
      </c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</row>
    <row r="193" ht="21.0" customHeight="1">
      <c r="A193" s="147">
        <v>13.0</v>
      </c>
      <c r="B193" s="148" t="s">
        <v>29</v>
      </c>
      <c r="C193" s="251">
        <v>14700.0</v>
      </c>
      <c r="D193" s="261">
        <f>8700+3900+1500</f>
        <v>14100</v>
      </c>
      <c r="E193" s="265">
        <f t="shared" si="82"/>
        <v>600</v>
      </c>
      <c r="F193" s="253">
        <v>18500.0</v>
      </c>
      <c r="G193" s="160">
        <f>14900+3600</f>
        <v>18500</v>
      </c>
      <c r="H193" s="257">
        <f t="shared" si="83"/>
        <v>0</v>
      </c>
      <c r="I193" s="258"/>
      <c r="J193" s="258"/>
      <c r="K193" s="259"/>
      <c r="L193" s="154">
        <v>7800.0</v>
      </c>
      <c r="M193" s="154">
        <f>5100+1500+600</f>
        <v>7200</v>
      </c>
      <c r="N193" s="169">
        <f t="shared" si="75"/>
        <v>600</v>
      </c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</row>
    <row r="194" ht="21.0" customHeight="1">
      <c r="A194" s="147">
        <v>14.0</v>
      </c>
      <c r="B194" s="148" t="s">
        <v>30</v>
      </c>
      <c r="C194" s="251">
        <v>14700.0</v>
      </c>
      <c r="D194" s="261">
        <f>9300+1500+3900</f>
        <v>14700</v>
      </c>
      <c r="E194" s="256" t="s">
        <v>115</v>
      </c>
      <c r="F194" s="253">
        <v>18500.0</v>
      </c>
      <c r="G194" s="149">
        <f>1000+17500</f>
        <v>18500</v>
      </c>
      <c r="H194" s="257">
        <f t="shared" si="83"/>
        <v>0</v>
      </c>
      <c r="I194" s="258"/>
      <c r="J194" s="258"/>
      <c r="K194" s="259"/>
      <c r="L194" s="154">
        <v>7800.0</v>
      </c>
      <c r="M194" s="150">
        <f>5700+600+1500</f>
        <v>7800</v>
      </c>
      <c r="N194" s="153">
        <f t="shared" si="75"/>
        <v>0</v>
      </c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</row>
    <row r="195" ht="21.0" customHeight="1">
      <c r="A195" s="147">
        <v>15.0</v>
      </c>
      <c r="B195" s="148" t="s">
        <v>31</v>
      </c>
      <c r="C195" s="251">
        <v>14700.0</v>
      </c>
      <c r="D195" s="160">
        <f t="shared" ref="D195:D196" si="84">9300+3900+1500</f>
        <v>14700</v>
      </c>
      <c r="E195" s="260">
        <f t="shared" ref="E195:E196" si="85">C195-D195</f>
        <v>0</v>
      </c>
      <c r="F195" s="253">
        <v>18500.0</v>
      </c>
      <c r="G195" s="149">
        <f>10650+7850</f>
        <v>18500</v>
      </c>
      <c r="H195" s="257">
        <f t="shared" si="83"/>
        <v>0</v>
      </c>
      <c r="I195" s="258"/>
      <c r="J195" s="258"/>
      <c r="K195" s="259"/>
      <c r="L195" s="154">
        <v>7800.0</v>
      </c>
      <c r="M195" s="150">
        <f>5700+1500+600</f>
        <v>7800</v>
      </c>
      <c r="N195" s="153">
        <f t="shared" si="75"/>
        <v>0</v>
      </c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</row>
    <row r="196" ht="21.0" customHeight="1">
      <c r="A196" s="147">
        <v>16.0</v>
      </c>
      <c r="B196" s="148" t="s">
        <v>32</v>
      </c>
      <c r="C196" s="251">
        <v>14700.0</v>
      </c>
      <c r="D196" s="160">
        <f t="shared" si="84"/>
        <v>14700</v>
      </c>
      <c r="E196" s="260">
        <f t="shared" si="85"/>
        <v>0</v>
      </c>
      <c r="F196" s="253">
        <v>18500.0</v>
      </c>
      <c r="G196" s="149">
        <f>14400+4100</f>
        <v>18500</v>
      </c>
      <c r="H196" s="257">
        <f t="shared" si="83"/>
        <v>0</v>
      </c>
      <c r="I196" s="258"/>
      <c r="J196" s="258"/>
      <c r="K196" s="259"/>
      <c r="L196" s="154">
        <v>7800.0</v>
      </c>
      <c r="M196" s="154">
        <f t="shared" ref="M196:M199" si="86">5700+600+1500</f>
        <v>7800</v>
      </c>
      <c r="N196" s="153">
        <f t="shared" si="75"/>
        <v>0</v>
      </c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</row>
    <row r="197" ht="21.0" customHeight="1">
      <c r="A197" s="147">
        <v>17.0</v>
      </c>
      <c r="B197" s="148" t="s">
        <v>33</v>
      </c>
      <c r="C197" s="266"/>
      <c r="D197" s="149"/>
      <c r="E197" s="252"/>
      <c r="F197" s="253"/>
      <c r="G197" s="149"/>
      <c r="H197" s="149"/>
      <c r="I197" s="258"/>
      <c r="J197" s="258"/>
      <c r="K197" s="259"/>
      <c r="L197" s="154">
        <v>7800.0</v>
      </c>
      <c r="M197" s="154">
        <f t="shared" si="86"/>
        <v>7800</v>
      </c>
      <c r="N197" s="153">
        <f t="shared" si="75"/>
        <v>0</v>
      </c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</row>
    <row r="198" ht="18.75" customHeight="1">
      <c r="A198" s="147">
        <v>18.0</v>
      </c>
      <c r="B198" s="148" t="s">
        <v>34</v>
      </c>
      <c r="C198" s="266"/>
      <c r="D198" s="149"/>
      <c r="E198" s="149"/>
      <c r="F198" s="149"/>
      <c r="G198" s="149"/>
      <c r="H198" s="149"/>
      <c r="I198" s="258"/>
      <c r="J198" s="258"/>
      <c r="K198" s="259"/>
      <c r="L198" s="154">
        <v>7800.0</v>
      </c>
      <c r="M198" s="154">
        <f t="shared" si="86"/>
        <v>7800</v>
      </c>
      <c r="N198" s="153">
        <f t="shared" si="75"/>
        <v>0</v>
      </c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</row>
    <row r="199" ht="21.0" customHeight="1">
      <c r="A199" s="147">
        <v>19.0</v>
      </c>
      <c r="B199" s="148" t="s">
        <v>35</v>
      </c>
      <c r="C199" s="251">
        <v>14700.0</v>
      </c>
      <c r="D199" s="160">
        <f>9300+3900+1500</f>
        <v>14700</v>
      </c>
      <c r="E199" s="260">
        <f>C199-D199</f>
        <v>0</v>
      </c>
      <c r="F199" s="253">
        <v>18500.0</v>
      </c>
      <c r="G199" s="160">
        <v>18500.0</v>
      </c>
      <c r="H199" s="257">
        <f>F199-G199</f>
        <v>0</v>
      </c>
      <c r="I199" s="258"/>
      <c r="J199" s="258"/>
      <c r="K199" s="259"/>
      <c r="L199" s="154">
        <v>7800.0</v>
      </c>
      <c r="M199" s="154">
        <f t="shared" si="86"/>
        <v>7800</v>
      </c>
      <c r="N199" s="153">
        <f t="shared" si="75"/>
        <v>0</v>
      </c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</row>
    <row r="200" ht="21.0" customHeight="1">
      <c r="A200" s="171"/>
      <c r="B200" s="21"/>
      <c r="C200" s="172">
        <f t="shared" ref="C200:E200" si="87">SUM(C181:C199)</f>
        <v>220500</v>
      </c>
      <c r="D200" s="172">
        <f t="shared" si="87"/>
        <v>219900</v>
      </c>
      <c r="E200" s="174">
        <f t="shared" si="87"/>
        <v>600</v>
      </c>
      <c r="F200" s="172">
        <f>SUM(F182:F199)</f>
        <v>277500</v>
      </c>
      <c r="G200" s="172">
        <f>SUM(G177:G199)</f>
        <v>277500</v>
      </c>
      <c r="H200" s="174">
        <f>SUM(H182:H199)</f>
        <v>0</v>
      </c>
      <c r="I200" s="174">
        <f>SUM(I175:I199)</f>
        <v>11700</v>
      </c>
      <c r="J200" s="174">
        <f>SUM(J181)</f>
        <v>11700</v>
      </c>
      <c r="K200" s="174">
        <f>SUM(K175:K199)</f>
        <v>0</v>
      </c>
      <c r="L200" s="174">
        <f>SUM(L182:L199)</f>
        <v>140400</v>
      </c>
      <c r="M200" s="192">
        <f>SUM(M181:M199)</f>
        <v>139800</v>
      </c>
      <c r="N200" s="173">
        <f t="shared" si="75"/>
        <v>600</v>
      </c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</row>
    <row r="201" ht="21.0" customHeight="1">
      <c r="A201" s="193"/>
      <c r="B201" s="193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</row>
    <row r="202" ht="21.0" customHeight="1"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</row>
    <row r="203" ht="21.0" customHeight="1"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</row>
    <row r="204" ht="21.0" customHeight="1">
      <c r="A204" s="131" t="s">
        <v>91</v>
      </c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</row>
    <row r="205" ht="21.0" customHeight="1">
      <c r="A205" s="131" t="s">
        <v>92</v>
      </c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</row>
    <row r="206" ht="21.0" customHeight="1">
      <c r="A206" s="133" t="s">
        <v>4</v>
      </c>
      <c r="B206" s="133" t="s">
        <v>5</v>
      </c>
      <c r="C206" s="267" t="s">
        <v>137</v>
      </c>
      <c r="D206" s="7"/>
      <c r="E206" s="8"/>
      <c r="F206" s="267" t="s">
        <v>138</v>
      </c>
      <c r="G206" s="7"/>
      <c r="H206" s="8"/>
      <c r="I206" s="135" t="s">
        <v>139</v>
      </c>
      <c r="J206" s="7"/>
      <c r="K206" s="8"/>
      <c r="L206" s="268" t="s">
        <v>140</v>
      </c>
      <c r="M206" s="7"/>
      <c r="N206" s="8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</row>
    <row r="207" ht="21.0" customHeight="1">
      <c r="A207" s="12"/>
      <c r="B207" s="12"/>
      <c r="C207" s="14"/>
      <c r="D207" s="15"/>
      <c r="E207" s="16"/>
      <c r="F207" s="14"/>
      <c r="G207" s="15"/>
      <c r="H207" s="16"/>
      <c r="I207" s="14"/>
      <c r="J207" s="15"/>
      <c r="K207" s="16"/>
      <c r="L207" s="14"/>
      <c r="M207" s="15"/>
      <c r="N207" s="1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</row>
    <row r="208" ht="21.0" customHeight="1">
      <c r="A208" s="12"/>
      <c r="B208" s="12"/>
      <c r="C208" s="141" t="s">
        <v>114</v>
      </c>
      <c r="E208" s="13"/>
      <c r="F208" s="141" t="s">
        <v>114</v>
      </c>
      <c r="H208" s="13"/>
      <c r="I208" s="140" t="s">
        <v>99</v>
      </c>
      <c r="K208" s="13"/>
      <c r="L208" s="269" t="s">
        <v>114</v>
      </c>
      <c r="N208" s="13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</row>
    <row r="209" ht="21.0" customHeight="1">
      <c r="A209" s="22"/>
      <c r="B209" s="22"/>
      <c r="C209" s="144" t="s">
        <v>13</v>
      </c>
      <c r="D209" s="144" t="s">
        <v>14</v>
      </c>
      <c r="E209" s="144" t="s">
        <v>15</v>
      </c>
      <c r="F209" s="144" t="s">
        <v>13</v>
      </c>
      <c r="G209" s="144" t="s">
        <v>14</v>
      </c>
      <c r="H209" s="144" t="s">
        <v>15</v>
      </c>
      <c r="I209" s="144" t="s">
        <v>13</v>
      </c>
      <c r="J209" s="144" t="s">
        <v>14</v>
      </c>
      <c r="K209" s="144" t="s">
        <v>15</v>
      </c>
      <c r="L209" s="144" t="s">
        <v>13</v>
      </c>
      <c r="M209" s="144" t="s">
        <v>14</v>
      </c>
      <c r="N209" s="144" t="s">
        <v>15</v>
      </c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</row>
    <row r="210" ht="21.0" customHeight="1">
      <c r="A210" s="147">
        <v>1.0</v>
      </c>
      <c r="B210" s="148" t="s">
        <v>17</v>
      </c>
      <c r="C210" s="152"/>
      <c r="D210" s="152"/>
      <c r="E210" s="149"/>
      <c r="F210" s="208"/>
      <c r="G210" s="206"/>
      <c r="H210" s="206"/>
      <c r="I210" s="150"/>
      <c r="J210" s="150"/>
      <c r="K210" s="199"/>
      <c r="L210" s="154">
        <v>18600.0</v>
      </c>
      <c r="M210" s="154">
        <v>14966.0</v>
      </c>
      <c r="N210" s="155">
        <f>L210-M210</f>
        <v>3634</v>
      </c>
      <c r="O210" s="166" t="s">
        <v>141</v>
      </c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</row>
    <row r="211" ht="21.0" customHeight="1">
      <c r="A211" s="147">
        <v>2.0</v>
      </c>
      <c r="B211" s="159" t="s">
        <v>18</v>
      </c>
      <c r="C211" s="151">
        <v>57000.0</v>
      </c>
      <c r="D211" s="151">
        <v>57000.0</v>
      </c>
      <c r="E211" s="207">
        <f t="shared" ref="E211:E218" si="88">C211-D211</f>
        <v>0</v>
      </c>
      <c r="F211" s="151">
        <v>12750.0</v>
      </c>
      <c r="G211" s="151">
        <f>10150+1250+1350</f>
        <v>12750</v>
      </c>
      <c r="H211" s="153">
        <f t="shared" ref="H211:H228" si="89">F211-G211</f>
        <v>0</v>
      </c>
      <c r="I211" s="154">
        <v>29400.0</v>
      </c>
      <c r="J211" s="150">
        <f>21540+3000+4860</f>
        <v>29400</v>
      </c>
      <c r="K211" s="153">
        <f>I211-J211</f>
        <v>0</v>
      </c>
      <c r="L211" s="154"/>
      <c r="M211" s="150"/>
      <c r="N211" s="270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</row>
    <row r="212" ht="21.0" customHeight="1">
      <c r="A212" s="147">
        <v>3.0</v>
      </c>
      <c r="B212" s="148" t="s">
        <v>19</v>
      </c>
      <c r="C212" s="151">
        <v>60800.0</v>
      </c>
      <c r="D212" s="151">
        <v>60800.0</v>
      </c>
      <c r="E212" s="153">
        <f t="shared" si="88"/>
        <v>0</v>
      </c>
      <c r="F212" s="151">
        <v>12750.0</v>
      </c>
      <c r="G212" s="151">
        <f t="shared" ref="G212:G216" si="90">10150+1350+1250</f>
        <v>12750</v>
      </c>
      <c r="H212" s="153">
        <f t="shared" si="89"/>
        <v>0</v>
      </c>
      <c r="I212" s="150"/>
      <c r="J212" s="150"/>
      <c r="K212" s="149"/>
      <c r="L212" s="150"/>
      <c r="M212" s="150"/>
      <c r="N212" s="149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</row>
    <row r="213" ht="21.0" customHeight="1">
      <c r="A213" s="147">
        <v>4.0</v>
      </c>
      <c r="B213" s="148" t="s">
        <v>20</v>
      </c>
      <c r="C213" s="151">
        <v>53200.0</v>
      </c>
      <c r="D213" s="151">
        <v>53200.0</v>
      </c>
      <c r="E213" s="153">
        <f t="shared" si="88"/>
        <v>0</v>
      </c>
      <c r="F213" s="151">
        <v>12750.0</v>
      </c>
      <c r="G213" s="151">
        <f t="shared" si="90"/>
        <v>12750</v>
      </c>
      <c r="H213" s="153">
        <f t="shared" si="89"/>
        <v>0</v>
      </c>
      <c r="I213" s="150"/>
      <c r="J213" s="150"/>
      <c r="K213" s="149"/>
      <c r="L213" s="150"/>
      <c r="M213" s="150"/>
      <c r="N213" s="149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</row>
    <row r="214" ht="21.0" customHeight="1">
      <c r="A214" s="147">
        <v>5.0</v>
      </c>
      <c r="B214" s="148" t="s">
        <v>21</v>
      </c>
      <c r="C214" s="151">
        <v>38000.0</v>
      </c>
      <c r="D214" s="151">
        <v>38000.0</v>
      </c>
      <c r="E214" s="153">
        <f t="shared" si="88"/>
        <v>0</v>
      </c>
      <c r="F214" s="151">
        <v>12750.0</v>
      </c>
      <c r="G214" s="151">
        <f t="shared" si="90"/>
        <v>12750</v>
      </c>
      <c r="H214" s="153">
        <f t="shared" si="89"/>
        <v>0</v>
      </c>
      <c r="I214" s="150"/>
      <c r="J214" s="150"/>
      <c r="K214" s="149"/>
      <c r="L214" s="150"/>
      <c r="M214" s="150"/>
      <c r="N214" s="149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</row>
    <row r="215" ht="21.0" customHeight="1">
      <c r="A215" s="147">
        <v>6.0</v>
      </c>
      <c r="B215" s="148" t="s">
        <v>22</v>
      </c>
      <c r="C215" s="151">
        <v>34200.0</v>
      </c>
      <c r="D215" s="151">
        <v>34200.0</v>
      </c>
      <c r="E215" s="207">
        <f t="shared" si="88"/>
        <v>0</v>
      </c>
      <c r="F215" s="151">
        <v>12750.0</v>
      </c>
      <c r="G215" s="151">
        <f t="shared" si="90"/>
        <v>12750</v>
      </c>
      <c r="H215" s="153">
        <f t="shared" si="89"/>
        <v>0</v>
      </c>
      <c r="I215" s="150"/>
      <c r="J215" s="150"/>
      <c r="K215" s="149"/>
      <c r="L215" s="150"/>
      <c r="M215" s="150"/>
      <c r="N215" s="149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</row>
    <row r="216" ht="21.0" customHeight="1">
      <c r="A216" s="147">
        <v>7.0</v>
      </c>
      <c r="B216" s="148" t="s">
        <v>23</v>
      </c>
      <c r="C216" s="151">
        <v>30400.0</v>
      </c>
      <c r="D216" s="151">
        <v>30400.0</v>
      </c>
      <c r="E216" s="207">
        <f t="shared" si="88"/>
        <v>0</v>
      </c>
      <c r="F216" s="151">
        <v>12750.0</v>
      </c>
      <c r="G216" s="151">
        <f t="shared" si="90"/>
        <v>12750</v>
      </c>
      <c r="H216" s="153">
        <f t="shared" si="89"/>
        <v>0</v>
      </c>
      <c r="I216" s="154">
        <v>29400.0</v>
      </c>
      <c r="J216" s="154">
        <f>21540+4860+3000</f>
        <v>29400</v>
      </c>
      <c r="K216" s="153">
        <f>I216-J216</f>
        <v>0</v>
      </c>
      <c r="L216" s="154"/>
      <c r="M216" s="154"/>
      <c r="N216" s="199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</row>
    <row r="217" ht="21.0" customHeight="1">
      <c r="A217" s="147">
        <v>8.0</v>
      </c>
      <c r="B217" s="148" t="s">
        <v>24</v>
      </c>
      <c r="C217" s="151">
        <v>19000.0</v>
      </c>
      <c r="D217" s="151">
        <v>19000.0</v>
      </c>
      <c r="E217" s="207">
        <f t="shared" si="88"/>
        <v>0</v>
      </c>
      <c r="F217" s="151">
        <v>12750.0</v>
      </c>
      <c r="G217" s="151">
        <f>10150+1250+1350</f>
        <v>12750</v>
      </c>
      <c r="H217" s="207">
        <f t="shared" si="89"/>
        <v>0</v>
      </c>
      <c r="I217" s="150"/>
      <c r="J217" s="150"/>
      <c r="K217" s="149"/>
      <c r="L217" s="150"/>
      <c r="M217" s="150"/>
      <c r="N217" s="149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</row>
    <row r="218" ht="21.0" customHeight="1">
      <c r="A218" s="147">
        <v>9.0</v>
      </c>
      <c r="B218" s="148" t="s">
        <v>25</v>
      </c>
      <c r="C218" s="151">
        <v>19000.0</v>
      </c>
      <c r="D218" s="151">
        <v>19000.0</v>
      </c>
      <c r="E218" s="153">
        <f t="shared" si="88"/>
        <v>0</v>
      </c>
      <c r="F218" s="151">
        <v>12750.0</v>
      </c>
      <c r="G218" s="151">
        <f t="shared" ref="G218:G220" si="91">10150+1350+1250</f>
        <v>12750</v>
      </c>
      <c r="H218" s="153">
        <f t="shared" si="89"/>
        <v>0</v>
      </c>
      <c r="I218" s="150"/>
      <c r="J218" s="150"/>
      <c r="K218" s="149"/>
      <c r="L218" s="150"/>
      <c r="M218" s="150"/>
      <c r="N218" s="149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</row>
    <row r="219" ht="21.0" customHeight="1">
      <c r="A219" s="147">
        <v>10.0</v>
      </c>
      <c r="B219" s="148" t="s">
        <v>26</v>
      </c>
      <c r="C219" s="151">
        <v>19000.0</v>
      </c>
      <c r="D219" s="151">
        <v>19000.0</v>
      </c>
      <c r="E219" s="207">
        <f t="shared" ref="E219:E220" si="92">C219-D218</f>
        <v>0</v>
      </c>
      <c r="F219" s="151">
        <v>12750.0</v>
      </c>
      <c r="G219" s="151">
        <f t="shared" si="91"/>
        <v>12750</v>
      </c>
      <c r="H219" s="153">
        <f t="shared" si="89"/>
        <v>0</v>
      </c>
      <c r="I219" s="154">
        <v>29400.0</v>
      </c>
      <c r="J219" s="150">
        <f>21540+4860+3000</f>
        <v>29400</v>
      </c>
      <c r="K219" s="153">
        <f>I219-J219</f>
        <v>0</v>
      </c>
      <c r="L219" s="154"/>
      <c r="M219" s="150"/>
      <c r="N219" s="199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</row>
    <row r="220" ht="21.0" customHeight="1">
      <c r="A220" s="147">
        <v>11.0</v>
      </c>
      <c r="B220" s="148" t="s">
        <v>27</v>
      </c>
      <c r="C220" s="151">
        <v>19000.0</v>
      </c>
      <c r="D220" s="151">
        <v>19000.0</v>
      </c>
      <c r="E220" s="153">
        <f t="shared" si="92"/>
        <v>0</v>
      </c>
      <c r="F220" s="151">
        <v>12750.0</v>
      </c>
      <c r="G220" s="151">
        <f t="shared" si="91"/>
        <v>12750</v>
      </c>
      <c r="H220" s="153">
        <f t="shared" si="89"/>
        <v>0</v>
      </c>
      <c r="I220" s="150"/>
      <c r="J220" s="150"/>
      <c r="K220" s="149"/>
      <c r="L220" s="150"/>
      <c r="M220" s="150"/>
      <c r="N220" s="149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</row>
    <row r="221" ht="21.0" customHeight="1">
      <c r="A221" s="147">
        <v>12.0</v>
      </c>
      <c r="B221" s="148" t="s">
        <v>28</v>
      </c>
      <c r="C221" s="151">
        <v>19000.0</v>
      </c>
      <c r="D221" s="151">
        <v>19000.0</v>
      </c>
      <c r="E221" s="271">
        <f t="shared" ref="E221:E224" si="93">C221-D221</f>
        <v>0</v>
      </c>
      <c r="F221" s="151">
        <v>12750.0</v>
      </c>
      <c r="G221" s="151">
        <f>10150+1250+1350</f>
        <v>12750</v>
      </c>
      <c r="H221" s="153">
        <f t="shared" si="89"/>
        <v>0</v>
      </c>
      <c r="I221" s="150"/>
      <c r="J221" s="150"/>
      <c r="K221" s="149"/>
      <c r="L221" s="150"/>
      <c r="M221" s="150"/>
      <c r="N221" s="149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</row>
    <row r="222" ht="21.0" customHeight="1">
      <c r="A222" s="147">
        <v>13.0</v>
      </c>
      <c r="B222" s="148" t="s">
        <v>29</v>
      </c>
      <c r="C222" s="151">
        <v>15200.0</v>
      </c>
      <c r="D222" s="151">
        <v>13600.0</v>
      </c>
      <c r="E222" s="155">
        <f t="shared" si="93"/>
        <v>1600</v>
      </c>
      <c r="F222" s="151">
        <v>12750.0</v>
      </c>
      <c r="G222" s="151">
        <f>9650+1250+1350</f>
        <v>12250</v>
      </c>
      <c r="H222" s="169">
        <f t="shared" si="89"/>
        <v>500</v>
      </c>
      <c r="I222" s="150"/>
      <c r="J222" s="150"/>
      <c r="K222" s="149"/>
      <c r="L222" s="150"/>
      <c r="M222" s="150"/>
      <c r="N222" s="149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</row>
    <row r="223" ht="21.0" customHeight="1">
      <c r="A223" s="147">
        <v>14.0</v>
      </c>
      <c r="B223" s="148" t="s">
        <v>30</v>
      </c>
      <c r="C223" s="151">
        <v>11400.0</v>
      </c>
      <c r="D223" s="151">
        <v>11400.0</v>
      </c>
      <c r="E223" s="153">
        <f t="shared" si="93"/>
        <v>0</v>
      </c>
      <c r="F223" s="151">
        <v>12750.0</v>
      </c>
      <c r="G223" s="151">
        <f>10150+1350+1250</f>
        <v>12750</v>
      </c>
      <c r="H223" s="153">
        <f t="shared" si="89"/>
        <v>0</v>
      </c>
      <c r="I223" s="150"/>
      <c r="J223" s="150"/>
      <c r="K223" s="149"/>
      <c r="L223" s="150"/>
      <c r="M223" s="150"/>
      <c r="N223" s="149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</row>
    <row r="224" ht="21.0" customHeight="1">
      <c r="A224" s="147">
        <v>15.0</v>
      </c>
      <c r="B224" s="148" t="s">
        <v>31</v>
      </c>
      <c r="C224" s="151">
        <v>15200.0</v>
      </c>
      <c r="D224" s="151">
        <v>15200.0</v>
      </c>
      <c r="E224" s="271">
        <f t="shared" si="93"/>
        <v>0</v>
      </c>
      <c r="F224" s="151">
        <v>12750.0</v>
      </c>
      <c r="G224" s="152">
        <f t="shared" ref="G224:G225" si="94">10150+1250+1350</f>
        <v>12750</v>
      </c>
      <c r="H224" s="153">
        <f t="shared" si="89"/>
        <v>0</v>
      </c>
      <c r="I224" s="150"/>
      <c r="J224" s="150"/>
      <c r="K224" s="149"/>
      <c r="L224" s="150"/>
      <c r="M224" s="150"/>
      <c r="N224" s="149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</row>
    <row r="225" ht="21.0" customHeight="1">
      <c r="A225" s="147">
        <v>16.0</v>
      </c>
      <c r="B225" s="148" t="s">
        <v>32</v>
      </c>
      <c r="C225" s="151">
        <v>15200.0</v>
      </c>
      <c r="D225" s="151">
        <v>15200.0</v>
      </c>
      <c r="E225" s="207">
        <f>C225-D224</f>
        <v>0</v>
      </c>
      <c r="F225" s="151">
        <v>12750.0</v>
      </c>
      <c r="G225" s="151">
        <f t="shared" si="94"/>
        <v>12750</v>
      </c>
      <c r="H225" s="153">
        <f t="shared" si="89"/>
        <v>0</v>
      </c>
      <c r="I225" s="150"/>
      <c r="J225" s="150"/>
      <c r="K225" s="149"/>
      <c r="L225" s="150"/>
      <c r="M225" s="150"/>
      <c r="N225" s="149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</row>
    <row r="226" ht="21.0" customHeight="1">
      <c r="A226" s="147">
        <v>17.0</v>
      </c>
      <c r="B226" s="148" t="s">
        <v>33</v>
      </c>
      <c r="C226" s="151">
        <v>15200.0</v>
      </c>
      <c r="D226" s="151">
        <v>15200.0</v>
      </c>
      <c r="E226" s="207">
        <f t="shared" ref="E226:E228" si="95">C226-D226</f>
        <v>0</v>
      </c>
      <c r="F226" s="151">
        <v>12750.0</v>
      </c>
      <c r="G226" s="151">
        <f t="shared" ref="G226:G227" si="96">10150+1350+1250</f>
        <v>12750</v>
      </c>
      <c r="H226" s="153">
        <f t="shared" si="89"/>
        <v>0</v>
      </c>
      <c r="I226" s="154">
        <v>29400.0</v>
      </c>
      <c r="J226" s="150">
        <f>21540+4860+3000</f>
        <v>29400</v>
      </c>
      <c r="K226" s="153">
        <f>I226-J226</f>
        <v>0</v>
      </c>
      <c r="L226" s="154"/>
      <c r="M226" s="150"/>
      <c r="N226" s="199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</row>
    <row r="227" ht="21.0" customHeight="1">
      <c r="A227" s="147">
        <v>18.0</v>
      </c>
      <c r="B227" s="148" t="s">
        <v>34</v>
      </c>
      <c r="C227" s="151">
        <v>15200.0</v>
      </c>
      <c r="D227" s="151">
        <v>15200.0</v>
      </c>
      <c r="E227" s="153">
        <f t="shared" si="95"/>
        <v>0</v>
      </c>
      <c r="F227" s="151">
        <v>12750.0</v>
      </c>
      <c r="G227" s="151">
        <f t="shared" si="96"/>
        <v>12750</v>
      </c>
      <c r="H227" s="153">
        <f t="shared" si="89"/>
        <v>0</v>
      </c>
      <c r="I227" s="150"/>
      <c r="J227" s="150"/>
      <c r="K227" s="149"/>
      <c r="L227" s="150"/>
      <c r="M227" s="150"/>
      <c r="N227" s="149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</row>
    <row r="228" ht="18.75" customHeight="1">
      <c r="A228" s="147">
        <v>19.0</v>
      </c>
      <c r="B228" s="148" t="s">
        <v>35</v>
      </c>
      <c r="C228" s="151">
        <v>15200.0</v>
      </c>
      <c r="D228" s="152">
        <f>15200</f>
        <v>15200</v>
      </c>
      <c r="E228" s="207">
        <f t="shared" si="95"/>
        <v>0</v>
      </c>
      <c r="F228" s="151">
        <v>12750.0</v>
      </c>
      <c r="G228" s="151">
        <f>10150+1250+1350</f>
        <v>12750</v>
      </c>
      <c r="H228" s="153">
        <f t="shared" si="89"/>
        <v>0</v>
      </c>
      <c r="I228" s="150"/>
      <c r="J228" s="150"/>
      <c r="K228" s="149"/>
      <c r="L228" s="150"/>
      <c r="M228" s="150"/>
      <c r="N228" s="149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</row>
    <row r="229" ht="21.0" customHeight="1">
      <c r="A229" s="171"/>
      <c r="B229" s="21"/>
      <c r="C229" s="174">
        <f>SUM(C211:C228)</f>
        <v>471200</v>
      </c>
      <c r="D229" s="172">
        <f>SUM(D205:D228)</f>
        <v>469600</v>
      </c>
      <c r="E229" s="173">
        <f>SUM(E211:E228)</f>
        <v>1600</v>
      </c>
      <c r="F229" s="174">
        <f t="shared" ref="F229:H229" si="97">SUM(F205:F228)</f>
        <v>229500</v>
      </c>
      <c r="G229" s="172">
        <f t="shared" si="97"/>
        <v>229000</v>
      </c>
      <c r="H229" s="173">
        <f t="shared" si="97"/>
        <v>500</v>
      </c>
      <c r="I229" s="174">
        <f>SUM(I211:I228)</f>
        <v>117600</v>
      </c>
      <c r="J229" s="218">
        <v>101880.0</v>
      </c>
      <c r="K229" s="173">
        <f>SUM(K211:K228)</f>
        <v>0</v>
      </c>
      <c r="L229" s="174">
        <f t="shared" ref="L229:N229" si="98">SUM(L210:L228)</f>
        <v>18600</v>
      </c>
      <c r="M229" s="218">
        <f t="shared" si="98"/>
        <v>14966</v>
      </c>
      <c r="N229" s="173">
        <f t="shared" si="98"/>
        <v>3634</v>
      </c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</row>
    <row r="230" ht="21.0" customHeight="1">
      <c r="A230" s="193"/>
      <c r="B230" s="193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</row>
    <row r="231" ht="21.0" customHeight="1"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</row>
    <row r="232" ht="24.0" customHeight="1"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</row>
    <row r="233" ht="24.0" customHeight="1"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</row>
    <row r="234" ht="21.0" customHeight="1">
      <c r="A234" s="131" t="s">
        <v>91</v>
      </c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</row>
    <row r="235" ht="21.0" customHeight="1">
      <c r="A235" s="131" t="s">
        <v>92</v>
      </c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</row>
    <row r="236" ht="21.0" customHeight="1">
      <c r="A236" s="133" t="s">
        <v>4</v>
      </c>
      <c r="B236" s="133" t="s">
        <v>5</v>
      </c>
      <c r="C236" s="272" t="s">
        <v>142</v>
      </c>
      <c r="D236" s="7"/>
      <c r="E236" s="8"/>
      <c r="F236" s="273" t="s">
        <v>143</v>
      </c>
      <c r="G236" s="7"/>
      <c r="H236" s="8"/>
      <c r="I236" s="273" t="s">
        <v>144</v>
      </c>
      <c r="J236" s="7"/>
      <c r="K236" s="8"/>
      <c r="L236" s="274" t="s">
        <v>145</v>
      </c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</row>
    <row r="237" ht="21.0" customHeight="1">
      <c r="A237" s="12"/>
      <c r="B237" s="12"/>
      <c r="C237" s="14"/>
      <c r="D237" s="15"/>
      <c r="E237" s="16"/>
      <c r="F237" s="14"/>
      <c r="G237" s="15"/>
      <c r="H237" s="16"/>
      <c r="I237" s="14"/>
      <c r="J237" s="15"/>
      <c r="K237" s="1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</row>
    <row r="238" ht="21.0" customHeight="1">
      <c r="A238" s="12"/>
      <c r="B238" s="12"/>
      <c r="C238" s="275" t="s">
        <v>146</v>
      </c>
      <c r="E238" s="13"/>
      <c r="F238" s="276" t="s">
        <v>17</v>
      </c>
      <c r="H238" s="13"/>
      <c r="I238" s="275" t="s">
        <v>17</v>
      </c>
      <c r="K238" s="13"/>
      <c r="L238" s="142" t="s">
        <v>99</v>
      </c>
      <c r="M238" s="15"/>
      <c r="N238" s="1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</row>
    <row r="239" ht="21.0" customHeight="1">
      <c r="A239" s="22"/>
      <c r="B239" s="22"/>
      <c r="C239" s="277" t="s">
        <v>13</v>
      </c>
      <c r="D239" s="277" t="s">
        <v>14</v>
      </c>
      <c r="E239" s="277" t="s">
        <v>15</v>
      </c>
      <c r="F239" s="277" t="s">
        <v>13</v>
      </c>
      <c r="G239" s="277" t="s">
        <v>14</v>
      </c>
      <c r="H239" s="277" t="s">
        <v>15</v>
      </c>
      <c r="I239" s="277" t="s">
        <v>13</v>
      </c>
      <c r="J239" s="277" t="s">
        <v>14</v>
      </c>
      <c r="K239" s="277" t="s">
        <v>15</v>
      </c>
      <c r="L239" s="144" t="s">
        <v>13</v>
      </c>
      <c r="M239" s="144" t="s">
        <v>14</v>
      </c>
      <c r="N239" s="144" t="s">
        <v>15</v>
      </c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</row>
    <row r="240" ht="21.0" customHeight="1">
      <c r="A240" s="147">
        <v>1.0</v>
      </c>
      <c r="B240" s="148" t="s">
        <v>17</v>
      </c>
      <c r="C240" s="278">
        <v>100000.0</v>
      </c>
      <c r="D240" s="278">
        <f>53600+46400</f>
        <v>100000</v>
      </c>
      <c r="E240" s="279">
        <f>C240-D240</f>
        <v>0</v>
      </c>
      <c r="F240" s="278">
        <v>30600.0</v>
      </c>
      <c r="G240" s="278">
        <f>27000+2700+900</f>
        <v>30600</v>
      </c>
      <c r="H240" s="279">
        <f>F240-G240</f>
        <v>0</v>
      </c>
      <c r="I240" s="278">
        <v>49200.0</v>
      </c>
      <c r="J240" s="278">
        <f>31200+2700+10800+4500</f>
        <v>49200</v>
      </c>
      <c r="K240" s="279">
        <f>I240-J240</f>
        <v>0</v>
      </c>
      <c r="L240" s="150"/>
      <c r="M240" s="150"/>
      <c r="N240" s="149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</row>
    <row r="241" ht="21.0" customHeight="1">
      <c r="A241" s="147">
        <v>2.0</v>
      </c>
      <c r="B241" s="159" t="s">
        <v>18</v>
      </c>
      <c r="C241" s="280"/>
      <c r="D241" s="281"/>
      <c r="E241" s="282"/>
      <c r="F241" s="280"/>
      <c r="G241" s="281"/>
      <c r="H241" s="283"/>
      <c r="I241" s="280"/>
      <c r="J241" s="278"/>
      <c r="K241" s="283"/>
      <c r="L241" s="154">
        <v>45800.0</v>
      </c>
      <c r="M241" s="154">
        <f>24600+800+4400+16000</f>
        <v>45800</v>
      </c>
      <c r="N241" s="153">
        <f>L241-M241</f>
        <v>0</v>
      </c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</row>
    <row r="242" ht="21.0" customHeight="1">
      <c r="A242" s="147">
        <v>3.0</v>
      </c>
      <c r="B242" s="148" t="s">
        <v>19</v>
      </c>
      <c r="C242" s="281"/>
      <c r="D242" s="281"/>
      <c r="E242" s="283"/>
      <c r="F242" s="281"/>
      <c r="G242" s="281"/>
      <c r="H242" s="283"/>
      <c r="I242" s="281"/>
      <c r="J242" s="281"/>
      <c r="K242" s="283"/>
      <c r="L242" s="154"/>
      <c r="M242" s="150"/>
      <c r="N242" s="199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</row>
    <row r="243" ht="21.0" customHeight="1">
      <c r="A243" s="147">
        <v>4.0</v>
      </c>
      <c r="B243" s="148" t="s">
        <v>20</v>
      </c>
      <c r="C243" s="281"/>
      <c r="D243" s="281"/>
      <c r="E243" s="283"/>
      <c r="F243" s="281"/>
      <c r="G243" s="281"/>
      <c r="H243" s="283"/>
      <c r="I243" s="281"/>
      <c r="J243" s="281"/>
      <c r="K243" s="283"/>
      <c r="L243" s="154"/>
      <c r="M243" s="150"/>
      <c r="N243" s="199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</row>
    <row r="244" ht="21.0" customHeight="1">
      <c r="A244" s="147">
        <v>5.0</v>
      </c>
      <c r="B244" s="148" t="s">
        <v>21</v>
      </c>
      <c r="C244" s="281"/>
      <c r="D244" s="281"/>
      <c r="E244" s="283"/>
      <c r="F244" s="281"/>
      <c r="G244" s="281"/>
      <c r="H244" s="283"/>
      <c r="I244" s="281"/>
      <c r="J244" s="281"/>
      <c r="K244" s="283"/>
      <c r="L244" s="154"/>
      <c r="M244" s="150"/>
      <c r="N244" s="199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</row>
    <row r="245" ht="21.0" customHeight="1">
      <c r="A245" s="147">
        <v>7.0</v>
      </c>
      <c r="B245" s="148" t="s">
        <v>23</v>
      </c>
      <c r="C245" s="281"/>
      <c r="D245" s="281"/>
      <c r="E245" s="283"/>
      <c r="F245" s="281"/>
      <c r="G245" s="281"/>
      <c r="H245" s="283"/>
      <c r="I245" s="281"/>
      <c r="J245" s="281"/>
      <c r="K245" s="283"/>
      <c r="L245" s="154"/>
      <c r="M245" s="150"/>
      <c r="N245" s="199"/>
      <c r="O245" s="136"/>
      <c r="P245" s="284"/>
      <c r="Q245" s="136"/>
      <c r="R245" s="136"/>
      <c r="S245" s="136"/>
      <c r="T245" s="136"/>
      <c r="U245" s="136"/>
      <c r="V245" s="136"/>
      <c r="W245" s="136"/>
      <c r="X245" s="136"/>
      <c r="Y245" s="136"/>
    </row>
    <row r="246" ht="21.0" customHeight="1">
      <c r="A246" s="147">
        <v>8.0</v>
      </c>
      <c r="B246" s="148" t="s">
        <v>24</v>
      </c>
      <c r="C246" s="281"/>
      <c r="D246" s="281"/>
      <c r="E246" s="283"/>
      <c r="F246" s="281"/>
      <c r="G246" s="281"/>
      <c r="H246" s="283"/>
      <c r="I246" s="281"/>
      <c r="J246" s="278"/>
      <c r="K246" s="283"/>
      <c r="L246" s="154"/>
      <c r="M246" s="150"/>
      <c r="N246" s="199"/>
      <c r="O246" s="136"/>
      <c r="P246" s="284"/>
      <c r="Q246" s="136"/>
      <c r="R246" s="136"/>
      <c r="S246" s="136"/>
      <c r="T246" s="136"/>
      <c r="U246" s="136"/>
      <c r="V246" s="136"/>
      <c r="W246" s="136"/>
      <c r="X246" s="136"/>
      <c r="Y246" s="136"/>
    </row>
    <row r="247" ht="21.0" customHeight="1">
      <c r="A247" s="147">
        <v>9.0</v>
      </c>
      <c r="B247" s="148" t="s">
        <v>25</v>
      </c>
      <c r="C247" s="281"/>
      <c r="D247" s="281"/>
      <c r="E247" s="283"/>
      <c r="F247" s="281"/>
      <c r="G247" s="281"/>
      <c r="H247" s="283"/>
      <c r="I247" s="281"/>
      <c r="J247" s="281"/>
      <c r="K247" s="283"/>
      <c r="L247" s="154"/>
      <c r="M247" s="150"/>
      <c r="N247" s="199"/>
      <c r="O247" s="136"/>
      <c r="P247" s="284"/>
      <c r="Q247" s="136"/>
      <c r="R247" s="136"/>
      <c r="S247" s="136"/>
      <c r="T247" s="136"/>
      <c r="U247" s="136"/>
      <c r="V247" s="136"/>
      <c r="W247" s="136"/>
      <c r="X247" s="136"/>
      <c r="Y247" s="136"/>
    </row>
    <row r="248" ht="21.0" customHeight="1">
      <c r="A248" s="147">
        <v>10.0</v>
      </c>
      <c r="B248" s="148" t="s">
        <v>26</v>
      </c>
      <c r="C248" s="281"/>
      <c r="D248" s="281"/>
      <c r="E248" s="283"/>
      <c r="F248" s="281"/>
      <c r="G248" s="281"/>
      <c r="H248" s="283"/>
      <c r="I248" s="281"/>
      <c r="J248" s="281"/>
      <c r="K248" s="283"/>
      <c r="L248" s="154"/>
      <c r="M248" s="150"/>
      <c r="N248" s="199"/>
      <c r="O248" s="136"/>
      <c r="P248" s="284"/>
      <c r="Q248" s="136"/>
      <c r="R248" s="136"/>
      <c r="S248" s="136"/>
      <c r="T248" s="136"/>
      <c r="U248" s="136"/>
      <c r="V248" s="136"/>
      <c r="W248" s="136"/>
      <c r="X248" s="136"/>
      <c r="Y248" s="136"/>
    </row>
    <row r="249" ht="21.0" customHeight="1">
      <c r="A249" s="147">
        <v>11.0</v>
      </c>
      <c r="B249" s="148" t="s">
        <v>27</v>
      </c>
      <c r="C249" s="281"/>
      <c r="D249" s="281"/>
      <c r="E249" s="283"/>
      <c r="F249" s="281"/>
      <c r="G249" s="281"/>
      <c r="H249" s="283"/>
      <c r="I249" s="281"/>
      <c r="J249" s="281"/>
      <c r="K249" s="283"/>
      <c r="L249" s="154"/>
      <c r="M249" s="150"/>
      <c r="N249" s="199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</row>
    <row r="250" ht="21.0" customHeight="1">
      <c r="A250" s="147">
        <v>12.0</v>
      </c>
      <c r="B250" s="148" t="s">
        <v>28</v>
      </c>
      <c r="C250" s="281"/>
      <c r="D250" s="281"/>
      <c r="E250" s="283"/>
      <c r="F250" s="281"/>
      <c r="G250" s="281"/>
      <c r="H250" s="283"/>
      <c r="I250" s="281"/>
      <c r="J250" s="281"/>
      <c r="K250" s="283"/>
      <c r="L250" s="154"/>
      <c r="M250" s="150"/>
      <c r="N250" s="199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</row>
    <row r="251" ht="21.0" customHeight="1">
      <c r="A251" s="147">
        <v>13.0</v>
      </c>
      <c r="B251" s="148" t="s">
        <v>29</v>
      </c>
      <c r="C251" s="281"/>
      <c r="D251" s="281"/>
      <c r="E251" s="283"/>
      <c r="F251" s="281"/>
      <c r="G251" s="281"/>
      <c r="H251" s="283"/>
      <c r="I251" s="281"/>
      <c r="J251" s="281"/>
      <c r="K251" s="283"/>
      <c r="L251" s="154"/>
      <c r="M251" s="150"/>
      <c r="N251" s="199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</row>
    <row r="252" ht="21.0" customHeight="1">
      <c r="A252" s="147">
        <v>14.0</v>
      </c>
      <c r="B252" s="148" t="s">
        <v>30</v>
      </c>
      <c r="C252" s="281"/>
      <c r="D252" s="281"/>
      <c r="E252" s="283"/>
      <c r="F252" s="281"/>
      <c r="G252" s="281"/>
      <c r="H252" s="283"/>
      <c r="I252" s="281"/>
      <c r="J252" s="281"/>
      <c r="K252" s="283"/>
      <c r="L252" s="154"/>
      <c r="M252" s="150"/>
      <c r="N252" s="199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</row>
    <row r="253" ht="21.0" customHeight="1">
      <c r="A253" s="147">
        <v>15.0</v>
      </c>
      <c r="B253" s="148" t="s">
        <v>31</v>
      </c>
      <c r="C253" s="281"/>
      <c r="D253" s="281"/>
      <c r="E253" s="283"/>
      <c r="F253" s="281"/>
      <c r="G253" s="281"/>
      <c r="H253" s="283"/>
      <c r="I253" s="281"/>
      <c r="J253" s="281"/>
      <c r="K253" s="283"/>
      <c r="L253" s="154"/>
      <c r="M253" s="150"/>
      <c r="N253" s="199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</row>
    <row r="254" ht="21.0" customHeight="1">
      <c r="A254" s="147">
        <v>16.0</v>
      </c>
      <c r="B254" s="148" t="s">
        <v>32</v>
      </c>
      <c r="C254" s="281"/>
      <c r="D254" s="281"/>
      <c r="E254" s="283"/>
      <c r="F254" s="281"/>
      <c r="G254" s="281"/>
      <c r="H254" s="283"/>
      <c r="I254" s="281"/>
      <c r="J254" s="281"/>
      <c r="K254" s="283"/>
      <c r="L254" s="154"/>
      <c r="M254" s="150"/>
      <c r="N254" s="199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</row>
    <row r="255" ht="21.0" customHeight="1">
      <c r="A255" s="147">
        <v>17.0</v>
      </c>
      <c r="B255" s="148" t="s">
        <v>33</v>
      </c>
      <c r="C255" s="281"/>
      <c r="D255" s="281"/>
      <c r="E255" s="283"/>
      <c r="F255" s="281"/>
      <c r="G255" s="281"/>
      <c r="H255" s="283"/>
      <c r="I255" s="281"/>
      <c r="J255" s="281"/>
      <c r="K255" s="283"/>
      <c r="L255" s="154"/>
      <c r="M255" s="150"/>
      <c r="N255" s="199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</row>
    <row r="256" ht="21.0" customHeight="1">
      <c r="A256" s="147">
        <v>18.0</v>
      </c>
      <c r="B256" s="148" t="s">
        <v>34</v>
      </c>
      <c r="C256" s="281"/>
      <c r="D256" s="281"/>
      <c r="E256" s="283"/>
      <c r="F256" s="281"/>
      <c r="G256" s="281"/>
      <c r="H256" s="283"/>
      <c r="I256" s="281"/>
      <c r="J256" s="281"/>
      <c r="K256" s="283"/>
      <c r="L256" s="154"/>
      <c r="M256" s="150"/>
      <c r="N256" s="199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</row>
    <row r="257" ht="21.0" customHeight="1">
      <c r="A257" s="147">
        <v>19.0</v>
      </c>
      <c r="B257" s="148" t="s">
        <v>35</v>
      </c>
      <c r="C257" s="281"/>
      <c r="D257" s="281"/>
      <c r="E257" s="283"/>
      <c r="F257" s="281"/>
      <c r="G257" s="281"/>
      <c r="H257" s="283"/>
      <c r="I257" s="281"/>
      <c r="J257" s="281"/>
      <c r="K257" s="283"/>
      <c r="L257" s="154"/>
      <c r="M257" s="150"/>
      <c r="N257" s="199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</row>
    <row r="258" ht="21.0" customHeight="1">
      <c r="A258" s="171"/>
      <c r="B258" s="21"/>
      <c r="C258" s="174">
        <f t="shared" ref="C258:D258" si="99">SUM(C240:C257)</f>
        <v>100000</v>
      </c>
      <c r="D258" s="174">
        <f t="shared" si="99"/>
        <v>100000</v>
      </c>
      <c r="E258" s="174"/>
      <c r="F258" s="174">
        <f t="shared" ref="F258:K258" si="100">SUM(F240:F257)</f>
        <v>30600</v>
      </c>
      <c r="G258" s="174">
        <f t="shared" si="100"/>
        <v>30600</v>
      </c>
      <c r="H258" s="174">
        <f t="shared" si="100"/>
        <v>0</v>
      </c>
      <c r="I258" s="174">
        <f t="shared" si="100"/>
        <v>49200</v>
      </c>
      <c r="J258" s="174">
        <f t="shared" si="100"/>
        <v>49200</v>
      </c>
      <c r="K258" s="285">
        <f t="shared" si="100"/>
        <v>0</v>
      </c>
      <c r="L258" s="174">
        <f t="shared" ref="L258:M258" si="101">SUM(L241)</f>
        <v>45800</v>
      </c>
      <c r="M258" s="192">
        <f t="shared" si="101"/>
        <v>45800</v>
      </c>
      <c r="N258" s="173">
        <f>SUM(N241:N257)</f>
        <v>0</v>
      </c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</row>
    <row r="259" ht="21.75" customHeight="1"/>
    <row r="260" ht="21.75" customHeight="1"/>
    <row r="261" ht="21.75" customHeight="1"/>
    <row r="262" ht="21.75" customHeight="1"/>
    <row r="263" ht="21.0" customHeight="1">
      <c r="A263" s="131" t="s">
        <v>91</v>
      </c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</row>
    <row r="264" ht="21.0" customHeight="1">
      <c r="A264" s="131" t="s">
        <v>92</v>
      </c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</row>
    <row r="265" ht="21.0" customHeight="1">
      <c r="A265" s="133" t="s">
        <v>4</v>
      </c>
      <c r="B265" s="133" t="s">
        <v>5</v>
      </c>
      <c r="C265" s="272" t="s">
        <v>147</v>
      </c>
      <c r="D265" s="7"/>
      <c r="E265" s="8"/>
      <c r="F265" s="273" t="s">
        <v>148</v>
      </c>
      <c r="G265" s="7"/>
      <c r="H265" s="8"/>
      <c r="I265" s="273" t="s">
        <v>149</v>
      </c>
      <c r="J265" s="7"/>
      <c r="K265" s="8"/>
      <c r="L265" s="286" t="s">
        <v>150</v>
      </c>
      <c r="M265" s="7"/>
      <c r="N265" s="8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</row>
    <row r="266" ht="21.0" customHeight="1">
      <c r="A266" s="12"/>
      <c r="B266" s="12"/>
      <c r="C266" s="14"/>
      <c r="D266" s="15"/>
      <c r="E266" s="16"/>
      <c r="F266" s="14"/>
      <c r="G266" s="15"/>
      <c r="H266" s="16"/>
      <c r="I266" s="14"/>
      <c r="J266" s="15"/>
      <c r="K266" s="16"/>
      <c r="L266" s="14"/>
      <c r="M266" s="15"/>
      <c r="N266" s="16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</row>
    <row r="267" ht="21.0" customHeight="1">
      <c r="A267" s="12"/>
      <c r="B267" s="12"/>
      <c r="C267" s="275" t="s">
        <v>17</v>
      </c>
      <c r="E267" s="13"/>
      <c r="F267" s="276"/>
      <c r="H267" s="13"/>
      <c r="I267" s="275" t="s">
        <v>17</v>
      </c>
      <c r="K267" s="13"/>
      <c r="L267" s="287" t="s">
        <v>17</v>
      </c>
      <c r="M267" s="20"/>
      <c r="N267" s="21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</row>
    <row r="268" ht="21.0" customHeight="1">
      <c r="A268" s="22"/>
      <c r="B268" s="22"/>
      <c r="C268" s="277" t="s">
        <v>13</v>
      </c>
      <c r="D268" s="277" t="s">
        <v>14</v>
      </c>
      <c r="E268" s="277" t="s">
        <v>15</v>
      </c>
      <c r="F268" s="277" t="s">
        <v>13</v>
      </c>
      <c r="G268" s="277" t="s">
        <v>14</v>
      </c>
      <c r="H268" s="277" t="s">
        <v>15</v>
      </c>
      <c r="I268" s="277" t="s">
        <v>13</v>
      </c>
      <c r="J268" s="277" t="s">
        <v>14</v>
      </c>
      <c r="K268" s="277" t="s">
        <v>15</v>
      </c>
      <c r="L268" s="288" t="s">
        <v>13</v>
      </c>
      <c r="M268" s="288" t="s">
        <v>14</v>
      </c>
      <c r="N268" s="288" t="s">
        <v>15</v>
      </c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</row>
    <row r="269" ht="21.0" customHeight="1">
      <c r="A269" s="147">
        <v>1.0</v>
      </c>
      <c r="B269" s="148" t="s">
        <v>17</v>
      </c>
      <c r="C269" s="278">
        <v>2750.0</v>
      </c>
      <c r="D269" s="278">
        <v>2750.0</v>
      </c>
      <c r="E269" s="279">
        <f>C269-D269</f>
        <v>0</v>
      </c>
      <c r="F269" s="278">
        <v>2500.0</v>
      </c>
      <c r="G269" s="278">
        <v>2500.0</v>
      </c>
      <c r="H269" s="279">
        <f>F269-G269</f>
        <v>0</v>
      </c>
      <c r="I269" s="278">
        <v>5000.0</v>
      </c>
      <c r="J269" s="278">
        <v>5000.0</v>
      </c>
      <c r="K269" s="279">
        <f>I269-J269</f>
        <v>0</v>
      </c>
      <c r="L269" s="254">
        <v>6600.0</v>
      </c>
      <c r="M269" s="254">
        <v>6600.0</v>
      </c>
      <c r="N269" s="153">
        <f>L269-M269</f>
        <v>0</v>
      </c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</row>
    <row r="270" ht="21.0" customHeight="1">
      <c r="A270" s="147">
        <v>2.0</v>
      </c>
      <c r="B270" s="159" t="s">
        <v>18</v>
      </c>
      <c r="C270" s="280"/>
      <c r="D270" s="281"/>
      <c r="E270" s="283"/>
      <c r="F270" s="280"/>
      <c r="G270" s="281"/>
      <c r="H270" s="283"/>
      <c r="I270" s="280"/>
      <c r="J270" s="281"/>
      <c r="K270" s="283"/>
      <c r="L270" s="254"/>
      <c r="M270" s="289"/>
      <c r="N270" s="259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</row>
    <row r="271" ht="21.0" customHeight="1">
      <c r="A271" s="147">
        <v>3.0</v>
      </c>
      <c r="B271" s="148" t="s">
        <v>19</v>
      </c>
      <c r="C271" s="281"/>
      <c r="D271" s="281"/>
      <c r="E271" s="283"/>
      <c r="F271" s="281"/>
      <c r="G271" s="281"/>
      <c r="H271" s="283"/>
      <c r="I271" s="281"/>
      <c r="J271" s="281"/>
      <c r="K271" s="283"/>
      <c r="L271" s="289"/>
      <c r="M271" s="289"/>
      <c r="N271" s="259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</row>
    <row r="272" ht="21.0" customHeight="1">
      <c r="A272" s="147">
        <v>4.0</v>
      </c>
      <c r="B272" s="148" t="s">
        <v>20</v>
      </c>
      <c r="C272" s="281"/>
      <c r="D272" s="281"/>
      <c r="E272" s="283"/>
      <c r="F272" s="281"/>
      <c r="G272" s="281"/>
      <c r="H272" s="283"/>
      <c r="I272" s="281"/>
      <c r="J272" s="281"/>
      <c r="K272" s="283"/>
      <c r="L272" s="289"/>
      <c r="M272" s="289"/>
      <c r="N272" s="259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</row>
    <row r="273" ht="21.0" customHeight="1">
      <c r="A273" s="147">
        <v>5.0</v>
      </c>
      <c r="B273" s="148" t="s">
        <v>21</v>
      </c>
      <c r="C273" s="281"/>
      <c r="D273" s="281"/>
      <c r="E273" s="283"/>
      <c r="F273" s="281"/>
      <c r="G273" s="281"/>
      <c r="H273" s="283"/>
      <c r="I273" s="281"/>
      <c r="J273" s="281"/>
      <c r="K273" s="283"/>
      <c r="L273" s="289"/>
      <c r="M273" s="289"/>
      <c r="N273" s="259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</row>
    <row r="274" ht="21.0" customHeight="1">
      <c r="A274" s="147">
        <v>7.0</v>
      </c>
      <c r="B274" s="148" t="s">
        <v>23</v>
      </c>
      <c r="C274" s="281"/>
      <c r="D274" s="281"/>
      <c r="E274" s="283"/>
      <c r="F274" s="281"/>
      <c r="G274" s="281"/>
      <c r="H274" s="283"/>
      <c r="I274" s="281"/>
      <c r="J274" s="281"/>
      <c r="K274" s="283"/>
      <c r="L274" s="289"/>
      <c r="M274" s="289"/>
      <c r="N274" s="259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</row>
    <row r="275" ht="21.0" customHeight="1">
      <c r="A275" s="147">
        <v>8.0</v>
      </c>
      <c r="B275" s="148" t="s">
        <v>24</v>
      </c>
      <c r="C275" s="281"/>
      <c r="D275" s="281"/>
      <c r="E275" s="283"/>
      <c r="F275" s="281"/>
      <c r="G275" s="281"/>
      <c r="H275" s="283"/>
      <c r="I275" s="281"/>
      <c r="J275" s="278"/>
      <c r="K275" s="283"/>
      <c r="L275" s="289"/>
      <c r="M275" s="289"/>
      <c r="N275" s="259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</row>
    <row r="276" ht="21.0" customHeight="1">
      <c r="A276" s="147">
        <v>9.0</v>
      </c>
      <c r="B276" s="148" t="s">
        <v>25</v>
      </c>
      <c r="C276" s="281"/>
      <c r="D276" s="281"/>
      <c r="E276" s="283"/>
      <c r="F276" s="281"/>
      <c r="G276" s="281"/>
      <c r="H276" s="283"/>
      <c r="I276" s="281"/>
      <c r="J276" s="281"/>
      <c r="K276" s="283"/>
      <c r="L276" s="289"/>
      <c r="M276" s="289"/>
      <c r="N276" s="259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</row>
    <row r="277" ht="21.0" customHeight="1">
      <c r="A277" s="147">
        <v>10.0</v>
      </c>
      <c r="B277" s="148" t="s">
        <v>26</v>
      </c>
      <c r="C277" s="281"/>
      <c r="D277" s="281"/>
      <c r="E277" s="283"/>
      <c r="F277" s="281"/>
      <c r="G277" s="281"/>
      <c r="H277" s="283"/>
      <c r="I277" s="281"/>
      <c r="J277" s="281"/>
      <c r="K277" s="283"/>
      <c r="L277" s="289"/>
      <c r="M277" s="289"/>
      <c r="N277" s="259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</row>
    <row r="278" ht="21.0" customHeight="1">
      <c r="A278" s="147">
        <v>11.0</v>
      </c>
      <c r="B278" s="148" t="s">
        <v>27</v>
      </c>
      <c r="C278" s="281"/>
      <c r="D278" s="281"/>
      <c r="E278" s="283"/>
      <c r="F278" s="281"/>
      <c r="G278" s="281"/>
      <c r="H278" s="283"/>
      <c r="I278" s="281"/>
      <c r="J278" s="281"/>
      <c r="K278" s="283"/>
      <c r="L278" s="289"/>
      <c r="M278" s="289"/>
      <c r="N278" s="259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</row>
    <row r="279" ht="21.0" customHeight="1">
      <c r="A279" s="147">
        <v>12.0</v>
      </c>
      <c r="B279" s="148" t="s">
        <v>28</v>
      </c>
      <c r="C279" s="281"/>
      <c r="D279" s="281"/>
      <c r="E279" s="283"/>
      <c r="F279" s="281"/>
      <c r="G279" s="281"/>
      <c r="H279" s="283"/>
      <c r="I279" s="281"/>
      <c r="J279" s="281"/>
      <c r="K279" s="283"/>
      <c r="L279" s="289"/>
      <c r="M279" s="289"/>
      <c r="N279" s="259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</row>
    <row r="280" ht="21.0" customHeight="1">
      <c r="A280" s="147">
        <v>13.0</v>
      </c>
      <c r="B280" s="148" t="s">
        <v>29</v>
      </c>
      <c r="C280" s="281"/>
      <c r="D280" s="281"/>
      <c r="E280" s="283"/>
      <c r="F280" s="281"/>
      <c r="G280" s="281"/>
      <c r="H280" s="283"/>
      <c r="I280" s="281"/>
      <c r="J280" s="281"/>
      <c r="K280" s="283"/>
      <c r="L280" s="289"/>
      <c r="M280" s="289"/>
      <c r="N280" s="259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</row>
    <row r="281" ht="21.0" customHeight="1">
      <c r="A281" s="147">
        <v>14.0</v>
      </c>
      <c r="B281" s="148" t="s">
        <v>30</v>
      </c>
      <c r="C281" s="281"/>
      <c r="D281" s="281"/>
      <c r="E281" s="283"/>
      <c r="F281" s="281"/>
      <c r="G281" s="281"/>
      <c r="H281" s="283"/>
      <c r="I281" s="281"/>
      <c r="J281" s="281"/>
      <c r="K281" s="283"/>
      <c r="L281" s="289"/>
      <c r="M281" s="289"/>
      <c r="N281" s="259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</row>
    <row r="282" ht="21.0" customHeight="1">
      <c r="A282" s="147">
        <v>15.0</v>
      </c>
      <c r="B282" s="148" t="s">
        <v>31</v>
      </c>
      <c r="C282" s="281"/>
      <c r="D282" s="281"/>
      <c r="E282" s="283"/>
      <c r="F282" s="281"/>
      <c r="G282" s="281"/>
      <c r="H282" s="283"/>
      <c r="I282" s="281"/>
      <c r="J282" s="281"/>
      <c r="K282" s="283"/>
      <c r="L282" s="289"/>
      <c r="M282" s="289"/>
      <c r="N282" s="259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</row>
    <row r="283" ht="21.0" customHeight="1">
      <c r="A283" s="147">
        <v>16.0</v>
      </c>
      <c r="B283" s="148" t="s">
        <v>32</v>
      </c>
      <c r="C283" s="281"/>
      <c r="D283" s="281"/>
      <c r="E283" s="283"/>
      <c r="F283" s="281"/>
      <c r="G283" s="281"/>
      <c r="H283" s="283"/>
      <c r="I283" s="281"/>
      <c r="J283" s="281"/>
      <c r="K283" s="283"/>
      <c r="L283" s="289"/>
      <c r="M283" s="289"/>
      <c r="N283" s="259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</row>
    <row r="284" ht="21.0" customHeight="1">
      <c r="A284" s="147">
        <v>17.0</v>
      </c>
      <c r="B284" s="148" t="s">
        <v>33</v>
      </c>
      <c r="C284" s="281"/>
      <c r="D284" s="281"/>
      <c r="E284" s="283"/>
      <c r="F284" s="281"/>
      <c r="G284" s="281"/>
      <c r="H284" s="283"/>
      <c r="I284" s="281"/>
      <c r="J284" s="281"/>
      <c r="K284" s="283"/>
      <c r="L284" s="289"/>
      <c r="M284" s="289"/>
      <c r="N284" s="259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</row>
    <row r="285" ht="21.0" customHeight="1">
      <c r="A285" s="147">
        <v>18.0</v>
      </c>
      <c r="B285" s="148" t="s">
        <v>34</v>
      </c>
      <c r="C285" s="281"/>
      <c r="D285" s="281"/>
      <c r="E285" s="283"/>
      <c r="F285" s="281"/>
      <c r="G285" s="281"/>
      <c r="H285" s="283"/>
      <c r="I285" s="281"/>
      <c r="J285" s="281"/>
      <c r="K285" s="283"/>
      <c r="L285" s="289"/>
      <c r="M285" s="289"/>
      <c r="N285" s="259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</row>
    <row r="286" ht="21.0" customHeight="1">
      <c r="A286" s="147">
        <v>19.0</v>
      </c>
      <c r="B286" s="148" t="s">
        <v>35</v>
      </c>
      <c r="C286" s="281"/>
      <c r="D286" s="281"/>
      <c r="E286" s="283"/>
      <c r="F286" s="281"/>
      <c r="G286" s="281"/>
      <c r="H286" s="283"/>
      <c r="I286" s="281"/>
      <c r="J286" s="281"/>
      <c r="K286" s="283"/>
      <c r="L286" s="289"/>
      <c r="M286" s="289"/>
      <c r="N286" s="259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</row>
    <row r="287" ht="21.0" customHeight="1">
      <c r="A287" s="171"/>
      <c r="B287" s="21"/>
      <c r="C287" s="174">
        <f t="shared" ref="C287:D287" si="102">SUM(C269:C286)</f>
        <v>2750</v>
      </c>
      <c r="D287" s="174">
        <f t="shared" si="102"/>
        <v>2750</v>
      </c>
      <c r="E287" s="174"/>
      <c r="F287" s="174">
        <f t="shared" ref="F287:J287" si="103">SUM(F269:F286)</f>
        <v>2500</v>
      </c>
      <c r="G287" s="174">
        <f t="shared" si="103"/>
        <v>2500</v>
      </c>
      <c r="H287" s="174">
        <f t="shared" si="103"/>
        <v>0</v>
      </c>
      <c r="I287" s="174">
        <f t="shared" si="103"/>
        <v>5000</v>
      </c>
      <c r="J287" s="192">
        <f t="shared" si="103"/>
        <v>5000</v>
      </c>
      <c r="K287" s="173"/>
      <c r="L287" s="174">
        <f t="shared" ref="L287:M287" si="104">SUM(L269:L286)</f>
        <v>6600</v>
      </c>
      <c r="M287" s="192">
        <f t="shared" si="104"/>
        <v>6600</v>
      </c>
      <c r="N287" s="173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</row>
    <row r="288" ht="21.0" customHeight="1"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</row>
    <row r="289" ht="21.0" customHeight="1"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</row>
    <row r="290" ht="21.0" customHeight="1"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</row>
    <row r="291" ht="21.0" customHeight="1"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</row>
    <row r="292" ht="21.0" customHeight="1">
      <c r="A292" s="131" t="s">
        <v>91</v>
      </c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</row>
    <row r="293" ht="21.0" customHeight="1">
      <c r="A293" s="131" t="s">
        <v>92</v>
      </c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</row>
    <row r="294" ht="21.0" customHeight="1">
      <c r="A294" s="133" t="s">
        <v>4</v>
      </c>
      <c r="B294" s="133" t="s">
        <v>5</v>
      </c>
      <c r="C294" s="134" t="s">
        <v>151</v>
      </c>
      <c r="D294" s="7"/>
      <c r="E294" s="8"/>
      <c r="F294" s="290" t="s">
        <v>152</v>
      </c>
      <c r="G294" s="291"/>
      <c r="H294" s="292"/>
      <c r="I294" s="181" t="s">
        <v>153</v>
      </c>
      <c r="J294" s="7"/>
      <c r="K294" s="8"/>
      <c r="L294" s="293" t="s">
        <v>154</v>
      </c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</row>
    <row r="295" ht="21.0" customHeight="1">
      <c r="A295" s="12"/>
      <c r="B295" s="12"/>
      <c r="E295" s="13"/>
      <c r="F295" s="294"/>
      <c r="G295" s="294"/>
      <c r="H295" s="295"/>
      <c r="I295" s="183"/>
      <c r="K295" s="13"/>
      <c r="L295" s="293" t="s">
        <v>155</v>
      </c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</row>
    <row r="296" ht="21.0" customHeight="1">
      <c r="A296" s="12"/>
      <c r="B296" s="12"/>
      <c r="C296" s="296" t="s">
        <v>99</v>
      </c>
      <c r="D296" s="7"/>
      <c r="E296" s="8"/>
      <c r="F296" s="297" t="s">
        <v>12</v>
      </c>
      <c r="G296" s="20"/>
      <c r="H296" s="21"/>
      <c r="I296" s="142" t="s">
        <v>114</v>
      </c>
      <c r="J296" s="15"/>
      <c r="K296" s="16"/>
      <c r="L296" s="298" t="s">
        <v>99</v>
      </c>
      <c r="N296" s="13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</row>
    <row r="297" ht="21.0" customHeight="1">
      <c r="A297" s="22"/>
      <c r="B297" s="22"/>
      <c r="C297" s="144" t="s">
        <v>13</v>
      </c>
      <c r="D297" s="144" t="s">
        <v>14</v>
      </c>
      <c r="E297" s="144" t="s">
        <v>15</v>
      </c>
      <c r="F297" s="277" t="s">
        <v>13</v>
      </c>
      <c r="G297" s="277" t="s">
        <v>14</v>
      </c>
      <c r="H297" s="277" t="s">
        <v>15</v>
      </c>
      <c r="I297" s="144" t="s">
        <v>13</v>
      </c>
      <c r="J297" s="144" t="s">
        <v>14</v>
      </c>
      <c r="K297" s="144" t="s">
        <v>15</v>
      </c>
      <c r="L297" s="277" t="s">
        <v>13</v>
      </c>
      <c r="M297" s="277" t="s">
        <v>14</v>
      </c>
      <c r="N297" s="277" t="s">
        <v>15</v>
      </c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</row>
    <row r="298" ht="21.0" customHeight="1">
      <c r="A298" s="147">
        <v>1.0</v>
      </c>
      <c r="B298" s="148" t="s">
        <v>17</v>
      </c>
      <c r="C298" s="160">
        <v>25700.0</v>
      </c>
      <c r="D298" s="160">
        <f>21090+1280+3330</f>
        <v>25700</v>
      </c>
      <c r="E298" s="153">
        <f>C298-D298</f>
        <v>0</v>
      </c>
      <c r="F298" s="299">
        <v>539000.0</v>
      </c>
      <c r="G298" s="299">
        <f>84600+1200+2190+11010+440000</f>
        <v>539000</v>
      </c>
      <c r="H298" s="300">
        <f>F298-G298</f>
        <v>0</v>
      </c>
      <c r="I298" s="154">
        <v>7650.0</v>
      </c>
      <c r="J298" s="150">
        <f>2550+2550+2550</f>
        <v>7650</v>
      </c>
      <c r="K298" s="153">
        <f>I298-J298</f>
        <v>0</v>
      </c>
      <c r="L298" s="299">
        <v>2000.0</v>
      </c>
      <c r="M298" s="299">
        <v>2000.0</v>
      </c>
      <c r="N298" s="301">
        <f>L298-M298</f>
        <v>0</v>
      </c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</row>
    <row r="299" ht="21.0" customHeight="1">
      <c r="A299" s="147">
        <v>2.0</v>
      </c>
      <c r="B299" s="159" t="s">
        <v>18</v>
      </c>
      <c r="C299" s="149"/>
      <c r="D299" s="149"/>
      <c r="E299" s="149"/>
      <c r="F299" s="150"/>
      <c r="G299" s="150"/>
      <c r="H299" s="149"/>
      <c r="I299" s="150"/>
      <c r="J299" s="150"/>
      <c r="K299" s="149"/>
      <c r="L299" s="152"/>
      <c r="M299" s="152"/>
      <c r="N299" s="149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</row>
    <row r="300" ht="21.0" customHeight="1">
      <c r="A300" s="147">
        <v>3.0</v>
      </c>
      <c r="B300" s="148" t="s">
        <v>19</v>
      </c>
      <c r="C300" s="149"/>
      <c r="D300" s="149"/>
      <c r="E300" s="149"/>
      <c r="F300" s="150"/>
      <c r="G300" s="150"/>
      <c r="H300" s="149"/>
      <c r="I300" s="150"/>
      <c r="J300" s="150"/>
      <c r="K300" s="149"/>
      <c r="L300" s="152"/>
      <c r="M300" s="152"/>
      <c r="N300" s="149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</row>
    <row r="301" ht="21.0" customHeight="1">
      <c r="A301" s="147">
        <v>4.0</v>
      </c>
      <c r="B301" s="148" t="s">
        <v>20</v>
      </c>
      <c r="C301" s="149"/>
      <c r="D301" s="149"/>
      <c r="E301" s="149"/>
      <c r="F301" s="150"/>
      <c r="G301" s="150"/>
      <c r="H301" s="149"/>
      <c r="I301" s="150"/>
      <c r="J301" s="150"/>
      <c r="K301" s="149"/>
      <c r="L301" s="152"/>
      <c r="M301" s="152"/>
      <c r="N301" s="149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</row>
    <row r="302" ht="21.0" customHeight="1">
      <c r="A302" s="147">
        <v>5.0</v>
      </c>
      <c r="B302" s="148" t="s">
        <v>21</v>
      </c>
      <c r="C302" s="149"/>
      <c r="D302" s="149"/>
      <c r="E302" s="149"/>
      <c r="F302" s="150"/>
      <c r="G302" s="150"/>
      <c r="H302" s="149"/>
      <c r="I302" s="150"/>
      <c r="J302" s="150"/>
      <c r="K302" s="149"/>
      <c r="L302" s="152"/>
      <c r="M302" s="152"/>
      <c r="N302" s="149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</row>
    <row r="303" ht="21.0" customHeight="1">
      <c r="A303" s="147">
        <v>6.0</v>
      </c>
      <c r="B303" s="148" t="s">
        <v>22</v>
      </c>
      <c r="C303" s="149"/>
      <c r="D303" s="149"/>
      <c r="E303" s="149"/>
      <c r="F303" s="150"/>
      <c r="G303" s="150"/>
      <c r="H303" s="149"/>
      <c r="I303" s="150"/>
      <c r="J303" s="150"/>
      <c r="K303" s="149"/>
      <c r="L303" s="152"/>
      <c r="M303" s="152"/>
      <c r="N303" s="149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</row>
    <row r="304" ht="21.0" customHeight="1">
      <c r="A304" s="147">
        <v>7.0</v>
      </c>
      <c r="B304" s="148" t="s">
        <v>23</v>
      </c>
      <c r="C304" s="149"/>
      <c r="D304" s="149"/>
      <c r="E304" s="149"/>
      <c r="F304" s="150"/>
      <c r="G304" s="150"/>
      <c r="H304" s="149"/>
      <c r="I304" s="150"/>
      <c r="J304" s="150"/>
      <c r="K304" s="149"/>
      <c r="L304" s="152"/>
      <c r="M304" s="152"/>
      <c r="N304" s="149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</row>
    <row r="305" ht="21.0" customHeight="1">
      <c r="A305" s="147">
        <v>8.0</v>
      </c>
      <c r="B305" s="148" t="s">
        <v>24</v>
      </c>
      <c r="C305" s="149"/>
      <c r="D305" s="149"/>
      <c r="E305" s="149"/>
      <c r="F305" s="150"/>
      <c r="G305" s="150"/>
      <c r="H305" s="149"/>
      <c r="I305" s="150"/>
      <c r="J305" s="150"/>
      <c r="K305" s="149"/>
      <c r="L305" s="152"/>
      <c r="M305" s="152"/>
      <c r="N305" s="149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</row>
    <row r="306" ht="21.0" customHeight="1">
      <c r="A306" s="147">
        <v>9.0</v>
      </c>
      <c r="B306" s="148" t="s">
        <v>25</v>
      </c>
      <c r="C306" s="149"/>
      <c r="D306" s="149"/>
      <c r="E306" s="149"/>
      <c r="F306" s="150"/>
      <c r="G306" s="150"/>
      <c r="H306" s="149"/>
      <c r="I306" s="150"/>
      <c r="J306" s="150"/>
      <c r="K306" s="149"/>
      <c r="L306" s="152"/>
      <c r="M306" s="152"/>
      <c r="N306" s="149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</row>
    <row r="307" ht="21.0" customHeight="1">
      <c r="A307" s="147">
        <v>10.0</v>
      </c>
      <c r="B307" s="148" t="s">
        <v>26</v>
      </c>
      <c r="C307" s="149"/>
      <c r="D307" s="149"/>
      <c r="E307" s="149"/>
      <c r="F307" s="150"/>
      <c r="G307" s="150"/>
      <c r="H307" s="149"/>
      <c r="I307" s="150"/>
      <c r="J307" s="150"/>
      <c r="K307" s="149"/>
      <c r="L307" s="152"/>
      <c r="M307" s="152"/>
      <c r="N307" s="149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</row>
    <row r="308" ht="21.0" customHeight="1">
      <c r="A308" s="147">
        <v>11.0</v>
      </c>
      <c r="B308" s="148" t="s">
        <v>27</v>
      </c>
      <c r="C308" s="149"/>
      <c r="D308" s="149"/>
      <c r="E308" s="149"/>
      <c r="F308" s="150"/>
      <c r="G308" s="150"/>
      <c r="H308" s="149"/>
      <c r="I308" s="150"/>
      <c r="J308" s="150"/>
      <c r="K308" s="149"/>
      <c r="L308" s="152"/>
      <c r="M308" s="152"/>
      <c r="N308" s="149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</row>
    <row r="309" ht="21.0" customHeight="1">
      <c r="A309" s="147">
        <v>12.0</v>
      </c>
      <c r="B309" s="148" t="s">
        <v>28</v>
      </c>
      <c r="C309" s="149"/>
      <c r="D309" s="149"/>
      <c r="E309" s="149"/>
      <c r="F309" s="150"/>
      <c r="G309" s="150"/>
      <c r="H309" s="149"/>
      <c r="I309" s="150"/>
      <c r="J309" s="150"/>
      <c r="K309" s="149"/>
      <c r="L309" s="152"/>
      <c r="M309" s="152"/>
      <c r="N309" s="149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</row>
    <row r="310" ht="21.0" customHeight="1">
      <c r="A310" s="147">
        <v>13.0</v>
      </c>
      <c r="B310" s="148" t="s">
        <v>29</v>
      </c>
      <c r="C310" s="149"/>
      <c r="D310" s="149"/>
      <c r="E310" s="149"/>
      <c r="F310" s="150"/>
      <c r="G310" s="150"/>
      <c r="H310" s="149"/>
      <c r="I310" s="150"/>
      <c r="J310" s="150"/>
      <c r="K310" s="149"/>
      <c r="L310" s="152"/>
      <c r="M310" s="152"/>
      <c r="N310" s="149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</row>
    <row r="311" ht="21.0" customHeight="1">
      <c r="A311" s="147">
        <v>14.0</v>
      </c>
      <c r="B311" s="148" t="s">
        <v>30</v>
      </c>
      <c r="C311" s="149"/>
      <c r="D311" s="149"/>
      <c r="E311" s="149"/>
      <c r="F311" s="150"/>
      <c r="G311" s="150"/>
      <c r="H311" s="149"/>
      <c r="I311" s="150"/>
      <c r="J311" s="150"/>
      <c r="K311" s="149"/>
      <c r="L311" s="152"/>
      <c r="M311" s="152"/>
      <c r="N311" s="149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</row>
    <row r="312" ht="21.0" customHeight="1">
      <c r="A312" s="147">
        <v>15.0</v>
      </c>
      <c r="B312" s="148" t="s">
        <v>31</v>
      </c>
      <c r="C312" s="149"/>
      <c r="D312" s="149"/>
      <c r="E312" s="149"/>
      <c r="F312" s="150"/>
      <c r="G312" s="150"/>
      <c r="H312" s="149"/>
      <c r="I312" s="150"/>
      <c r="J312" s="150"/>
      <c r="K312" s="149"/>
      <c r="L312" s="152"/>
      <c r="M312" s="152"/>
      <c r="N312" s="149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</row>
    <row r="313" ht="21.0" customHeight="1">
      <c r="A313" s="147">
        <v>16.0</v>
      </c>
      <c r="B313" s="148" t="s">
        <v>32</v>
      </c>
      <c r="C313" s="149"/>
      <c r="D313" s="149"/>
      <c r="E313" s="149"/>
      <c r="F313" s="150"/>
      <c r="G313" s="150"/>
      <c r="H313" s="149"/>
      <c r="I313" s="150"/>
      <c r="J313" s="150"/>
      <c r="K313" s="149"/>
      <c r="L313" s="152"/>
      <c r="M313" s="152"/>
      <c r="N313" s="149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</row>
    <row r="314" ht="21.0" customHeight="1">
      <c r="A314" s="147">
        <v>17.0</v>
      </c>
      <c r="B314" s="148" t="s">
        <v>33</v>
      </c>
      <c r="C314" s="149"/>
      <c r="D314" s="149"/>
      <c r="E314" s="149"/>
      <c r="F314" s="150"/>
      <c r="G314" s="150"/>
      <c r="H314" s="149"/>
      <c r="I314" s="150"/>
      <c r="J314" s="150"/>
      <c r="K314" s="149"/>
      <c r="L314" s="152"/>
      <c r="M314" s="152"/>
      <c r="N314" s="149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</row>
    <row r="315" ht="18.75" customHeight="1">
      <c r="A315" s="147">
        <v>18.0</v>
      </c>
      <c r="B315" s="148" t="s">
        <v>34</v>
      </c>
      <c r="C315" s="149"/>
      <c r="D315" s="149"/>
      <c r="E315" s="149"/>
      <c r="F315" s="150"/>
      <c r="G315" s="150"/>
      <c r="H315" s="149"/>
      <c r="I315" s="150"/>
      <c r="J315" s="150"/>
      <c r="K315" s="149"/>
      <c r="L315" s="152"/>
      <c r="M315" s="152"/>
      <c r="N315" s="149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</row>
    <row r="316" ht="21.0" customHeight="1">
      <c r="A316" s="147">
        <v>19.0</v>
      </c>
      <c r="B316" s="148" t="s">
        <v>35</v>
      </c>
      <c r="C316" s="149"/>
      <c r="D316" s="149"/>
      <c r="E316" s="149"/>
      <c r="F316" s="150"/>
      <c r="G316" s="150"/>
      <c r="H316" s="149"/>
      <c r="I316" s="150"/>
      <c r="J316" s="150"/>
      <c r="K316" s="149"/>
      <c r="L316" s="152"/>
      <c r="M316" s="152"/>
      <c r="N316" s="149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</row>
    <row r="317" ht="21.0" customHeight="1">
      <c r="A317" s="171"/>
      <c r="B317" s="21"/>
      <c r="C317" s="172">
        <f t="shared" ref="C317:H317" si="105">SUM(C298:C316)</f>
        <v>25700</v>
      </c>
      <c r="D317" s="172">
        <f t="shared" si="105"/>
        <v>25700</v>
      </c>
      <c r="E317" s="174">
        <f t="shared" si="105"/>
        <v>0</v>
      </c>
      <c r="F317" s="302">
        <f t="shared" si="105"/>
        <v>539000</v>
      </c>
      <c r="G317" s="172">
        <f t="shared" si="105"/>
        <v>539000</v>
      </c>
      <c r="H317" s="173">
        <f t="shared" si="105"/>
        <v>0</v>
      </c>
      <c r="I317" s="174">
        <f t="shared" ref="I317:K317" si="106">SUM(I298)</f>
        <v>7650</v>
      </c>
      <c r="J317" s="192">
        <f t="shared" si="106"/>
        <v>7650</v>
      </c>
      <c r="K317" s="173">
        <f t="shared" si="106"/>
        <v>0</v>
      </c>
      <c r="L317" s="174">
        <f t="shared" ref="L317:M317" si="107">SUM(L298:L316)</f>
        <v>2000</v>
      </c>
      <c r="M317" s="172">
        <f t="shared" si="107"/>
        <v>2000</v>
      </c>
      <c r="N317" s="173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</row>
    <row r="318" ht="21.0" customHeight="1">
      <c r="A318" s="193"/>
      <c r="B318" s="193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</row>
    <row r="319" ht="21.0" customHeight="1">
      <c r="A319" s="193"/>
      <c r="B319" s="193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</row>
    <row r="320" ht="21.0" customHeight="1">
      <c r="A320" s="193"/>
      <c r="B320" s="193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</row>
    <row r="321" ht="21.0" customHeight="1">
      <c r="A321" s="193"/>
      <c r="B321" s="193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</row>
    <row r="322" ht="21.0" customHeight="1">
      <c r="A322" s="131" t="s">
        <v>91</v>
      </c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</row>
    <row r="323" ht="21.0" customHeight="1">
      <c r="A323" s="131" t="s">
        <v>92</v>
      </c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</row>
    <row r="324" ht="21.0" customHeight="1">
      <c r="A324" s="133" t="s">
        <v>4</v>
      </c>
      <c r="B324" s="133" t="s">
        <v>5</v>
      </c>
      <c r="C324" s="134" t="s">
        <v>156</v>
      </c>
      <c r="D324" s="7"/>
      <c r="E324" s="8"/>
      <c r="F324" s="135" t="s">
        <v>157</v>
      </c>
      <c r="G324" s="7"/>
      <c r="H324" s="8"/>
      <c r="I324" s="267" t="s">
        <v>158</v>
      </c>
      <c r="J324" s="7"/>
      <c r="K324" s="8"/>
      <c r="L324" s="134" t="s">
        <v>159</v>
      </c>
      <c r="M324" s="7"/>
      <c r="N324" s="8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</row>
    <row r="325" ht="21.0" customHeight="1">
      <c r="A325" s="12"/>
      <c r="B325" s="12"/>
      <c r="E325" s="13"/>
      <c r="F325" s="14"/>
      <c r="G325" s="15"/>
      <c r="H325" s="16"/>
      <c r="I325" s="14"/>
      <c r="J325" s="15"/>
      <c r="K325" s="16"/>
      <c r="N325" s="13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</row>
    <row r="326" ht="21.0" customHeight="1">
      <c r="A326" s="12"/>
      <c r="B326" s="12"/>
      <c r="C326" s="139" t="s">
        <v>99</v>
      </c>
      <c r="D326" s="7"/>
      <c r="E326" s="8"/>
      <c r="F326" s="140" t="s">
        <v>160</v>
      </c>
      <c r="H326" s="13"/>
      <c r="I326" s="141" t="s">
        <v>12</v>
      </c>
      <c r="K326" s="13"/>
      <c r="L326" s="139" t="s">
        <v>99</v>
      </c>
      <c r="M326" s="7"/>
      <c r="N326" s="8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</row>
    <row r="327" ht="21.0" customHeight="1">
      <c r="A327" s="22"/>
      <c r="B327" s="22"/>
      <c r="C327" s="144" t="s">
        <v>13</v>
      </c>
      <c r="D327" s="144" t="s">
        <v>14</v>
      </c>
      <c r="E327" s="144" t="s">
        <v>15</v>
      </c>
      <c r="F327" s="144" t="s">
        <v>13</v>
      </c>
      <c r="G327" s="144" t="s">
        <v>14</v>
      </c>
      <c r="H327" s="144" t="s">
        <v>15</v>
      </c>
      <c r="I327" s="144" t="s">
        <v>13</v>
      </c>
      <c r="J327" s="144" t="s">
        <v>14</v>
      </c>
      <c r="K327" s="144" t="s">
        <v>15</v>
      </c>
      <c r="L327" s="144" t="s">
        <v>13</v>
      </c>
      <c r="M327" s="144" t="s">
        <v>14</v>
      </c>
      <c r="N327" s="144" t="s">
        <v>15</v>
      </c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</row>
    <row r="328" ht="21.0" customHeight="1">
      <c r="A328" s="147">
        <v>1.0</v>
      </c>
      <c r="B328" s="148" t="s">
        <v>17</v>
      </c>
      <c r="C328" s="160">
        <v>5100.0</v>
      </c>
      <c r="D328" s="160">
        <v>5100.0</v>
      </c>
      <c r="E328" s="153">
        <f>C328-D328</f>
        <v>0</v>
      </c>
      <c r="F328" s="154">
        <v>14120.0</v>
      </c>
      <c r="G328" s="150">
        <f>14120</f>
        <v>14120</v>
      </c>
      <c r="H328" s="153">
        <f>F328-G328</f>
        <v>0</v>
      </c>
      <c r="I328" s="151">
        <v>17400.0</v>
      </c>
      <c r="J328" s="151">
        <f>4650+600+3450+4650+3450+600</f>
        <v>17400</v>
      </c>
      <c r="K328" s="153">
        <f>I328-J328</f>
        <v>0</v>
      </c>
      <c r="L328" s="160">
        <v>7000.0</v>
      </c>
      <c r="M328" s="160">
        <v>7000.0</v>
      </c>
      <c r="N328" s="153">
        <f>L328-M328</f>
        <v>0</v>
      </c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</row>
    <row r="329" ht="21.0" customHeight="1">
      <c r="A329" s="147">
        <v>2.0</v>
      </c>
      <c r="B329" s="159" t="s">
        <v>18</v>
      </c>
      <c r="C329" s="160"/>
      <c r="D329" s="149"/>
      <c r="E329" s="149"/>
      <c r="F329" s="150"/>
      <c r="G329" s="150"/>
      <c r="H329" s="149"/>
      <c r="I329" s="152"/>
      <c r="J329" s="152"/>
      <c r="K329" s="149"/>
      <c r="L329" s="149"/>
      <c r="M329" s="149"/>
      <c r="N329" s="149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</row>
    <row r="330" ht="21.0" customHeight="1">
      <c r="A330" s="147">
        <v>3.0</v>
      </c>
      <c r="B330" s="148" t="s">
        <v>19</v>
      </c>
      <c r="C330" s="149"/>
      <c r="D330" s="149"/>
      <c r="E330" s="149"/>
      <c r="F330" s="150"/>
      <c r="G330" s="150"/>
      <c r="H330" s="149"/>
      <c r="I330" s="152"/>
      <c r="J330" s="152"/>
      <c r="K330" s="149"/>
      <c r="L330" s="149"/>
      <c r="M330" s="149"/>
      <c r="N330" s="149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</row>
    <row r="331" ht="21.0" customHeight="1">
      <c r="A331" s="147">
        <v>4.0</v>
      </c>
      <c r="B331" s="148" t="s">
        <v>20</v>
      </c>
      <c r="C331" s="149"/>
      <c r="D331" s="149"/>
      <c r="E331" s="149"/>
      <c r="F331" s="150"/>
      <c r="G331" s="150"/>
      <c r="H331" s="149"/>
      <c r="I331" s="152"/>
      <c r="J331" s="152"/>
      <c r="K331" s="149"/>
      <c r="L331" s="149"/>
      <c r="M331" s="149"/>
      <c r="N331" s="149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</row>
    <row r="332" ht="21.0" customHeight="1">
      <c r="A332" s="147">
        <v>5.0</v>
      </c>
      <c r="B332" s="148" t="s">
        <v>21</v>
      </c>
      <c r="C332" s="149"/>
      <c r="D332" s="149"/>
      <c r="E332" s="149"/>
      <c r="F332" s="150"/>
      <c r="G332" s="150"/>
      <c r="H332" s="149"/>
      <c r="I332" s="152"/>
      <c r="J332" s="152"/>
      <c r="K332" s="149"/>
      <c r="L332" s="149"/>
      <c r="M332" s="149"/>
      <c r="N332" s="149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</row>
    <row r="333" ht="21.0" customHeight="1">
      <c r="A333" s="147">
        <v>6.0</v>
      </c>
      <c r="B333" s="148" t="s">
        <v>22</v>
      </c>
      <c r="C333" s="149"/>
      <c r="D333" s="149"/>
      <c r="E333" s="149"/>
      <c r="F333" s="150"/>
      <c r="G333" s="150"/>
      <c r="H333" s="149"/>
      <c r="I333" s="152"/>
      <c r="J333" s="152"/>
      <c r="K333" s="149"/>
      <c r="L333" s="149"/>
      <c r="M333" s="149"/>
      <c r="N333" s="149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</row>
    <row r="334" ht="21.0" customHeight="1">
      <c r="A334" s="147">
        <v>7.0</v>
      </c>
      <c r="B334" s="148" t="s">
        <v>23</v>
      </c>
      <c r="C334" s="149"/>
      <c r="D334" s="149"/>
      <c r="E334" s="149"/>
      <c r="F334" s="150"/>
      <c r="G334" s="150"/>
      <c r="H334" s="149"/>
      <c r="I334" s="152"/>
      <c r="J334" s="152"/>
      <c r="K334" s="149"/>
      <c r="L334" s="149"/>
      <c r="M334" s="149"/>
      <c r="N334" s="149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</row>
    <row r="335" ht="21.0" customHeight="1">
      <c r="A335" s="147">
        <v>8.0</v>
      </c>
      <c r="B335" s="148" t="s">
        <v>24</v>
      </c>
      <c r="C335" s="149"/>
      <c r="D335" s="149"/>
      <c r="E335" s="149"/>
      <c r="F335" s="150"/>
      <c r="G335" s="150"/>
      <c r="H335" s="149"/>
      <c r="I335" s="152"/>
      <c r="J335" s="152"/>
      <c r="K335" s="149"/>
      <c r="L335" s="149"/>
      <c r="M335" s="149"/>
      <c r="N335" s="149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</row>
    <row r="336" ht="21.0" customHeight="1">
      <c r="A336" s="147">
        <v>9.0</v>
      </c>
      <c r="B336" s="148" t="s">
        <v>25</v>
      </c>
      <c r="C336" s="149"/>
      <c r="D336" s="149"/>
      <c r="E336" s="149"/>
      <c r="F336" s="150"/>
      <c r="G336" s="150"/>
      <c r="H336" s="149"/>
      <c r="I336" s="152"/>
      <c r="J336" s="152"/>
      <c r="K336" s="149"/>
      <c r="L336" s="149"/>
      <c r="M336" s="149"/>
      <c r="N336" s="149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</row>
    <row r="337" ht="21.0" customHeight="1">
      <c r="A337" s="147">
        <v>10.0</v>
      </c>
      <c r="B337" s="148" t="s">
        <v>26</v>
      </c>
      <c r="C337" s="149"/>
      <c r="D337" s="149"/>
      <c r="E337" s="149"/>
      <c r="F337" s="150"/>
      <c r="G337" s="150"/>
      <c r="H337" s="149"/>
      <c r="I337" s="152"/>
      <c r="J337" s="152"/>
      <c r="K337" s="149"/>
      <c r="L337" s="149"/>
      <c r="M337" s="149"/>
      <c r="N337" s="149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</row>
    <row r="338" ht="21.0" customHeight="1">
      <c r="A338" s="147">
        <v>11.0</v>
      </c>
      <c r="B338" s="148" t="s">
        <v>27</v>
      </c>
      <c r="C338" s="149"/>
      <c r="D338" s="149"/>
      <c r="E338" s="149"/>
      <c r="F338" s="150"/>
      <c r="G338" s="150"/>
      <c r="H338" s="149"/>
      <c r="I338" s="152"/>
      <c r="J338" s="152"/>
      <c r="K338" s="149"/>
      <c r="L338" s="149"/>
      <c r="M338" s="149"/>
      <c r="N338" s="149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</row>
    <row r="339" ht="21.0" customHeight="1">
      <c r="A339" s="147">
        <v>12.0</v>
      </c>
      <c r="B339" s="148" t="s">
        <v>28</v>
      </c>
      <c r="C339" s="149"/>
      <c r="D339" s="149"/>
      <c r="E339" s="149"/>
      <c r="F339" s="150"/>
      <c r="G339" s="150"/>
      <c r="H339" s="149"/>
      <c r="I339" s="152"/>
      <c r="J339" s="152"/>
      <c r="K339" s="149"/>
      <c r="L339" s="149"/>
      <c r="M339" s="149"/>
      <c r="N339" s="149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</row>
    <row r="340" ht="21.0" customHeight="1">
      <c r="A340" s="147">
        <v>13.0</v>
      </c>
      <c r="B340" s="148" t="s">
        <v>29</v>
      </c>
      <c r="C340" s="149"/>
      <c r="D340" s="149"/>
      <c r="E340" s="149"/>
      <c r="F340" s="150"/>
      <c r="G340" s="150"/>
      <c r="H340" s="149"/>
      <c r="I340" s="152"/>
      <c r="J340" s="152"/>
      <c r="K340" s="149"/>
      <c r="L340" s="149"/>
      <c r="M340" s="149"/>
      <c r="N340" s="149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</row>
    <row r="341" ht="21.0" customHeight="1">
      <c r="A341" s="147">
        <v>14.0</v>
      </c>
      <c r="B341" s="148" t="s">
        <v>30</v>
      </c>
      <c r="C341" s="149"/>
      <c r="D341" s="149"/>
      <c r="E341" s="149"/>
      <c r="F341" s="150"/>
      <c r="G341" s="150"/>
      <c r="H341" s="149"/>
      <c r="I341" s="152"/>
      <c r="J341" s="152"/>
      <c r="K341" s="149"/>
      <c r="L341" s="149"/>
      <c r="M341" s="149"/>
      <c r="N341" s="149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</row>
    <row r="342" ht="21.0" customHeight="1">
      <c r="A342" s="147">
        <v>15.0</v>
      </c>
      <c r="B342" s="148" t="s">
        <v>31</v>
      </c>
      <c r="C342" s="149"/>
      <c r="D342" s="149"/>
      <c r="E342" s="149"/>
      <c r="F342" s="150"/>
      <c r="G342" s="150"/>
      <c r="H342" s="149"/>
      <c r="I342" s="152"/>
      <c r="J342" s="152"/>
      <c r="K342" s="149"/>
      <c r="L342" s="149"/>
      <c r="M342" s="149"/>
      <c r="N342" s="149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</row>
    <row r="343" ht="21.0" customHeight="1">
      <c r="A343" s="147">
        <v>16.0</v>
      </c>
      <c r="B343" s="148" t="s">
        <v>32</v>
      </c>
      <c r="C343" s="149"/>
      <c r="D343" s="149"/>
      <c r="E343" s="149"/>
      <c r="F343" s="150"/>
      <c r="G343" s="150"/>
      <c r="H343" s="149"/>
      <c r="I343" s="152"/>
      <c r="J343" s="152"/>
      <c r="K343" s="149"/>
      <c r="L343" s="149"/>
      <c r="M343" s="149"/>
      <c r="N343" s="149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</row>
    <row r="344" ht="21.0" customHeight="1">
      <c r="A344" s="147">
        <v>17.0</v>
      </c>
      <c r="B344" s="148" t="s">
        <v>33</v>
      </c>
      <c r="C344" s="149"/>
      <c r="D344" s="149"/>
      <c r="E344" s="149"/>
      <c r="F344" s="150"/>
      <c r="G344" s="150"/>
      <c r="H344" s="149"/>
      <c r="I344" s="152"/>
      <c r="J344" s="152"/>
      <c r="K344" s="149"/>
      <c r="L344" s="149"/>
      <c r="M344" s="149"/>
      <c r="N344" s="149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</row>
    <row r="345" ht="18.75" customHeight="1">
      <c r="A345" s="147">
        <v>18.0</v>
      </c>
      <c r="B345" s="148" t="s">
        <v>34</v>
      </c>
      <c r="C345" s="149"/>
      <c r="D345" s="149"/>
      <c r="E345" s="149"/>
      <c r="F345" s="150"/>
      <c r="G345" s="150"/>
      <c r="H345" s="149"/>
      <c r="I345" s="152"/>
      <c r="J345" s="152"/>
      <c r="K345" s="149"/>
      <c r="L345" s="149"/>
      <c r="M345" s="149"/>
      <c r="N345" s="149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</row>
    <row r="346" ht="21.0" customHeight="1">
      <c r="A346" s="147">
        <v>19.0</v>
      </c>
      <c r="B346" s="148" t="s">
        <v>35</v>
      </c>
      <c r="C346" s="149"/>
      <c r="D346" s="149"/>
      <c r="E346" s="149"/>
      <c r="F346" s="150"/>
      <c r="G346" s="150"/>
      <c r="H346" s="149"/>
      <c r="I346" s="152"/>
      <c r="J346" s="152"/>
      <c r="K346" s="149"/>
      <c r="L346" s="149"/>
      <c r="M346" s="149"/>
      <c r="N346" s="149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</row>
    <row r="347" ht="21.0" customHeight="1">
      <c r="A347" s="171"/>
      <c r="B347" s="21"/>
      <c r="C347" s="172">
        <f t="shared" ref="C347:L347" si="108">SUM(C328)</f>
        <v>5100</v>
      </c>
      <c r="D347" s="172">
        <f t="shared" si="108"/>
        <v>5100</v>
      </c>
      <c r="E347" s="174">
        <f t="shared" si="108"/>
        <v>0</v>
      </c>
      <c r="F347" s="174">
        <f t="shared" si="108"/>
        <v>14120</v>
      </c>
      <c r="G347" s="172">
        <f t="shared" si="108"/>
        <v>14120</v>
      </c>
      <c r="H347" s="173">
        <f t="shared" si="108"/>
        <v>0</v>
      </c>
      <c r="I347" s="174">
        <f t="shared" si="108"/>
        <v>17400</v>
      </c>
      <c r="J347" s="172">
        <f t="shared" si="108"/>
        <v>17400</v>
      </c>
      <c r="K347" s="173">
        <f t="shared" si="108"/>
        <v>0</v>
      </c>
      <c r="L347" s="172">
        <f t="shared" si="108"/>
        <v>7000</v>
      </c>
      <c r="M347" s="172">
        <f>M328</f>
        <v>7000</v>
      </c>
      <c r="N347" s="174">
        <f>SUM(N328)</f>
        <v>0</v>
      </c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</row>
    <row r="348" ht="21.0" customHeight="1">
      <c r="A348" s="193"/>
      <c r="B348" s="193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</row>
    <row r="349" ht="21.0" customHeight="1">
      <c r="A349" s="193"/>
      <c r="B349" s="193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</row>
    <row r="350" ht="21.0" customHeight="1">
      <c r="A350" s="193"/>
      <c r="B350" s="193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</row>
    <row r="351" ht="21.0" customHeight="1">
      <c r="A351" s="193"/>
      <c r="B351" s="193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</row>
    <row r="352" ht="21.0" customHeight="1">
      <c r="A352" s="131" t="s">
        <v>91</v>
      </c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</row>
    <row r="353" ht="21.0" customHeight="1">
      <c r="A353" s="131" t="s">
        <v>92</v>
      </c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</row>
    <row r="354" ht="21.0" customHeight="1">
      <c r="A354" s="133" t="s">
        <v>4</v>
      </c>
      <c r="B354" s="133" t="s">
        <v>5</v>
      </c>
      <c r="C354" s="249" t="s">
        <v>161</v>
      </c>
      <c r="D354" s="7"/>
      <c r="E354" s="8"/>
      <c r="F354" s="250" t="s">
        <v>162</v>
      </c>
      <c r="G354" s="7"/>
      <c r="H354" s="8"/>
      <c r="I354" s="181" t="s">
        <v>163</v>
      </c>
      <c r="J354" s="7"/>
      <c r="K354" s="8"/>
      <c r="L354" s="181" t="s">
        <v>164</v>
      </c>
      <c r="M354" s="7"/>
      <c r="N354" s="8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</row>
    <row r="355" ht="21.0" customHeight="1">
      <c r="A355" s="12"/>
      <c r="B355" s="12"/>
      <c r="C355" s="14"/>
      <c r="D355" s="15"/>
      <c r="E355" s="16"/>
      <c r="F355" s="14"/>
      <c r="G355" s="15"/>
      <c r="H355" s="16"/>
      <c r="I355" s="196" t="s">
        <v>165</v>
      </c>
      <c r="K355" s="13"/>
      <c r="L355" s="196" t="s">
        <v>166</v>
      </c>
      <c r="N355" s="13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</row>
    <row r="356" ht="21.0" customHeight="1">
      <c r="A356" s="12"/>
      <c r="B356" s="12"/>
      <c r="C356" s="296" t="s">
        <v>99</v>
      </c>
      <c r="D356" s="7"/>
      <c r="E356" s="8"/>
      <c r="F356" s="139" t="s">
        <v>114</v>
      </c>
      <c r="G356" s="7"/>
      <c r="H356" s="8"/>
      <c r="I356" s="197" t="s">
        <v>99</v>
      </c>
      <c r="J356" s="15"/>
      <c r="K356" s="16"/>
      <c r="L356" s="197" t="s">
        <v>99</v>
      </c>
      <c r="M356" s="15"/>
      <c r="N356" s="1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</row>
    <row r="357" ht="21.0" customHeight="1">
      <c r="A357" s="22"/>
      <c r="B357" s="22"/>
      <c r="C357" s="144" t="s">
        <v>13</v>
      </c>
      <c r="D357" s="144" t="s">
        <v>14</v>
      </c>
      <c r="E357" s="144" t="s">
        <v>15</v>
      </c>
      <c r="F357" s="144" t="s">
        <v>13</v>
      </c>
      <c r="G357" s="144" t="s">
        <v>14</v>
      </c>
      <c r="H357" s="144" t="s">
        <v>15</v>
      </c>
      <c r="I357" s="144" t="s">
        <v>13</v>
      </c>
      <c r="J357" s="144" t="s">
        <v>14</v>
      </c>
      <c r="K357" s="144" t="s">
        <v>15</v>
      </c>
      <c r="L357" s="144" t="s">
        <v>13</v>
      </c>
      <c r="M357" s="144" t="s">
        <v>14</v>
      </c>
      <c r="N357" s="144" t="s">
        <v>15</v>
      </c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</row>
    <row r="358" ht="21.0" customHeight="1">
      <c r="A358" s="147">
        <v>1.0</v>
      </c>
      <c r="B358" s="148" t="s">
        <v>17</v>
      </c>
      <c r="C358" s="254">
        <v>18000.0</v>
      </c>
      <c r="D358" s="303">
        <f>11600+360+3070+370+2600</f>
        <v>18000</v>
      </c>
      <c r="E358" s="153">
        <f>C358-D358</f>
        <v>0</v>
      </c>
      <c r="F358" s="254">
        <v>59300.0</v>
      </c>
      <c r="G358" s="254">
        <v>59300.0</v>
      </c>
      <c r="H358" s="207">
        <f>F358-G358</f>
        <v>0</v>
      </c>
      <c r="I358" s="154">
        <v>4800.0</v>
      </c>
      <c r="J358" s="154">
        <v>4800.0</v>
      </c>
      <c r="K358" s="153">
        <f>I358-J358</f>
        <v>0</v>
      </c>
      <c r="L358" s="154">
        <v>3000.0</v>
      </c>
      <c r="M358" s="154">
        <v>3000.0</v>
      </c>
      <c r="N358" s="153">
        <f>L358-M358</f>
        <v>0</v>
      </c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</row>
    <row r="359" ht="21.0" customHeight="1">
      <c r="A359" s="147">
        <v>2.0</v>
      </c>
      <c r="B359" s="159" t="s">
        <v>18</v>
      </c>
      <c r="C359" s="289"/>
      <c r="D359" s="289"/>
      <c r="E359" s="199"/>
      <c r="F359" s="304"/>
      <c r="G359" s="258"/>
      <c r="H359" s="259"/>
      <c r="I359" s="150"/>
      <c r="J359" s="150"/>
      <c r="K359" s="149"/>
      <c r="L359" s="150"/>
      <c r="M359" s="150"/>
      <c r="N359" s="149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</row>
    <row r="360" ht="21.0" customHeight="1">
      <c r="A360" s="147">
        <v>3.0</v>
      </c>
      <c r="B360" s="148" t="s">
        <v>19</v>
      </c>
      <c r="C360" s="289"/>
      <c r="D360" s="289"/>
      <c r="E360" s="199"/>
      <c r="F360" s="258"/>
      <c r="G360" s="258"/>
      <c r="H360" s="259"/>
      <c r="I360" s="150"/>
      <c r="J360" s="150"/>
      <c r="K360" s="149"/>
      <c r="L360" s="150"/>
      <c r="M360" s="150"/>
      <c r="N360" s="149"/>
      <c r="O360" s="136"/>
      <c r="P360" s="136"/>
      <c r="Q360" s="136"/>
      <c r="R360" s="305"/>
      <c r="S360" s="136"/>
      <c r="T360" s="136"/>
      <c r="U360" s="136"/>
      <c r="V360" s="136"/>
      <c r="W360" s="136"/>
      <c r="X360" s="136"/>
      <c r="Y360" s="136"/>
    </row>
    <row r="361" ht="21.0" customHeight="1">
      <c r="A361" s="147">
        <v>4.0</v>
      </c>
      <c r="B361" s="148" t="s">
        <v>20</v>
      </c>
      <c r="C361" s="289"/>
      <c r="D361" s="289"/>
      <c r="E361" s="199"/>
      <c r="F361" s="258"/>
      <c r="G361" s="258"/>
      <c r="H361" s="259"/>
      <c r="I361" s="150"/>
      <c r="J361" s="150"/>
      <c r="K361" s="149"/>
      <c r="L361" s="150"/>
      <c r="M361" s="150"/>
      <c r="N361" s="149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</row>
    <row r="362" ht="21.0" customHeight="1">
      <c r="A362" s="147">
        <v>5.0</v>
      </c>
      <c r="B362" s="148" t="s">
        <v>21</v>
      </c>
      <c r="C362" s="289"/>
      <c r="D362" s="289"/>
      <c r="E362" s="199"/>
      <c r="F362" s="258"/>
      <c r="G362" s="258"/>
      <c r="H362" s="259"/>
      <c r="I362" s="150"/>
      <c r="J362" s="150"/>
      <c r="K362" s="149"/>
      <c r="L362" s="150"/>
      <c r="M362" s="150"/>
      <c r="N362" s="149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</row>
    <row r="363" ht="21.0" customHeight="1">
      <c r="A363" s="147">
        <v>6.0</v>
      </c>
      <c r="B363" s="148" t="s">
        <v>22</v>
      </c>
      <c r="C363" s="289"/>
      <c r="D363" s="289"/>
      <c r="E363" s="199"/>
      <c r="F363" s="258"/>
      <c r="G363" s="258"/>
      <c r="H363" s="259"/>
      <c r="I363" s="150"/>
      <c r="J363" s="150"/>
      <c r="K363" s="149"/>
      <c r="L363" s="150"/>
      <c r="M363" s="150"/>
      <c r="N363" s="149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</row>
    <row r="364" ht="21.0" customHeight="1">
      <c r="A364" s="147">
        <v>7.0</v>
      </c>
      <c r="B364" s="148" t="s">
        <v>23</v>
      </c>
      <c r="C364" s="289"/>
      <c r="D364" s="289"/>
      <c r="E364" s="199"/>
      <c r="F364" s="258"/>
      <c r="G364" s="258"/>
      <c r="H364" s="259"/>
      <c r="I364" s="150"/>
      <c r="J364" s="150"/>
      <c r="K364" s="149"/>
      <c r="L364" s="150"/>
      <c r="M364" s="150"/>
      <c r="N364" s="149"/>
      <c r="O364" s="136"/>
      <c r="P364" s="284"/>
      <c r="Q364" s="136"/>
      <c r="R364" s="136"/>
      <c r="S364" s="136"/>
      <c r="T364" s="136"/>
      <c r="U364" s="136"/>
      <c r="V364" s="136"/>
      <c r="W364" s="136"/>
      <c r="X364" s="136"/>
      <c r="Y364" s="136"/>
    </row>
    <row r="365" ht="21.0" customHeight="1">
      <c r="A365" s="147">
        <v>8.0</v>
      </c>
      <c r="B365" s="148" t="s">
        <v>24</v>
      </c>
      <c r="C365" s="289"/>
      <c r="D365" s="289"/>
      <c r="E365" s="199"/>
      <c r="F365" s="258"/>
      <c r="G365" s="258"/>
      <c r="H365" s="259"/>
      <c r="I365" s="150"/>
      <c r="J365" s="150"/>
      <c r="K365" s="149"/>
      <c r="L365" s="150"/>
      <c r="M365" s="150"/>
      <c r="N365" s="149"/>
      <c r="O365" s="136"/>
      <c r="P365" s="284"/>
      <c r="Q365" s="136"/>
      <c r="R365" s="136"/>
      <c r="S365" s="136"/>
      <c r="T365" s="136"/>
      <c r="U365" s="136"/>
      <c r="V365" s="136"/>
      <c r="W365" s="136"/>
      <c r="X365" s="136"/>
      <c r="Y365" s="136"/>
    </row>
    <row r="366" ht="21.0" customHeight="1">
      <c r="A366" s="147">
        <v>9.0</v>
      </c>
      <c r="B366" s="148" t="s">
        <v>25</v>
      </c>
      <c r="C366" s="289"/>
      <c r="D366" s="289"/>
      <c r="E366" s="199"/>
      <c r="F366" s="258"/>
      <c r="G366" s="258"/>
      <c r="H366" s="259"/>
      <c r="I366" s="150"/>
      <c r="J366" s="150"/>
      <c r="K366" s="149"/>
      <c r="L366" s="150"/>
      <c r="M366" s="150"/>
      <c r="N366" s="149"/>
      <c r="O366" s="136"/>
      <c r="P366" s="284"/>
      <c r="Q366" s="136"/>
      <c r="R366" s="136"/>
      <c r="S366" s="136"/>
      <c r="T366" s="136"/>
      <c r="U366" s="136"/>
      <c r="V366" s="136"/>
      <c r="W366" s="136"/>
      <c r="X366" s="136"/>
      <c r="Y366" s="136"/>
    </row>
    <row r="367" ht="21.0" customHeight="1">
      <c r="A367" s="147">
        <v>10.0</v>
      </c>
      <c r="B367" s="148" t="s">
        <v>26</v>
      </c>
      <c r="C367" s="289"/>
      <c r="D367" s="289"/>
      <c r="E367" s="199"/>
      <c r="F367" s="258"/>
      <c r="G367" s="258"/>
      <c r="H367" s="259"/>
      <c r="I367" s="150"/>
      <c r="J367" s="150"/>
      <c r="K367" s="149"/>
      <c r="L367" s="150"/>
      <c r="M367" s="150"/>
      <c r="N367" s="149"/>
      <c r="O367" s="136"/>
      <c r="P367" s="284"/>
      <c r="Q367" s="136"/>
      <c r="R367" s="136"/>
      <c r="S367" s="136"/>
      <c r="T367" s="136"/>
      <c r="U367" s="136"/>
      <c r="V367" s="136"/>
      <c r="W367" s="136"/>
      <c r="X367" s="136"/>
      <c r="Y367" s="136"/>
    </row>
    <row r="368" ht="21.0" customHeight="1">
      <c r="A368" s="147">
        <v>11.0</v>
      </c>
      <c r="B368" s="148" t="s">
        <v>27</v>
      </c>
      <c r="C368" s="289"/>
      <c r="D368" s="289"/>
      <c r="E368" s="199"/>
      <c r="F368" s="258"/>
      <c r="G368" s="258"/>
      <c r="H368" s="259"/>
      <c r="I368" s="150"/>
      <c r="J368" s="150"/>
      <c r="K368" s="149"/>
      <c r="L368" s="150"/>
      <c r="M368" s="150"/>
      <c r="N368" s="149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</row>
    <row r="369" ht="21.0" customHeight="1">
      <c r="A369" s="147">
        <v>12.0</v>
      </c>
      <c r="B369" s="148" t="s">
        <v>28</v>
      </c>
      <c r="C369" s="289"/>
      <c r="D369" s="289"/>
      <c r="E369" s="199"/>
      <c r="F369" s="258"/>
      <c r="G369" s="258"/>
      <c r="H369" s="259"/>
      <c r="I369" s="150"/>
      <c r="J369" s="150"/>
      <c r="K369" s="149"/>
      <c r="L369" s="150"/>
      <c r="M369" s="150"/>
      <c r="N369" s="149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</row>
    <row r="370" ht="21.0" customHeight="1">
      <c r="A370" s="147">
        <v>13.0</v>
      </c>
      <c r="B370" s="148" t="s">
        <v>29</v>
      </c>
      <c r="C370" s="289"/>
      <c r="D370" s="289"/>
      <c r="E370" s="199"/>
      <c r="F370" s="258"/>
      <c r="G370" s="258"/>
      <c r="H370" s="259"/>
      <c r="I370" s="150"/>
      <c r="J370" s="150"/>
      <c r="K370" s="149"/>
      <c r="L370" s="150"/>
      <c r="M370" s="150"/>
      <c r="N370" s="149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</row>
    <row r="371" ht="21.0" customHeight="1">
      <c r="A371" s="147">
        <v>14.0</v>
      </c>
      <c r="B371" s="148" t="s">
        <v>30</v>
      </c>
      <c r="C371" s="289"/>
      <c r="D371" s="289"/>
      <c r="E371" s="199"/>
      <c r="F371" s="258"/>
      <c r="G371" s="258"/>
      <c r="H371" s="259"/>
      <c r="I371" s="150"/>
      <c r="J371" s="150"/>
      <c r="K371" s="149"/>
      <c r="L371" s="150"/>
      <c r="M371" s="150"/>
      <c r="N371" s="149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</row>
    <row r="372" ht="21.0" customHeight="1">
      <c r="A372" s="147">
        <v>15.0</v>
      </c>
      <c r="B372" s="148" t="s">
        <v>31</v>
      </c>
      <c r="C372" s="289"/>
      <c r="D372" s="289"/>
      <c r="E372" s="199"/>
      <c r="F372" s="258"/>
      <c r="G372" s="258"/>
      <c r="H372" s="259"/>
      <c r="I372" s="150"/>
      <c r="J372" s="150"/>
      <c r="K372" s="149"/>
      <c r="L372" s="150"/>
      <c r="M372" s="150"/>
      <c r="N372" s="149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</row>
    <row r="373" ht="21.0" customHeight="1">
      <c r="A373" s="147">
        <v>16.0</v>
      </c>
      <c r="B373" s="148" t="s">
        <v>32</v>
      </c>
      <c r="C373" s="289"/>
      <c r="D373" s="289"/>
      <c r="E373" s="199"/>
      <c r="F373" s="258"/>
      <c r="G373" s="258"/>
      <c r="H373" s="259"/>
      <c r="I373" s="150"/>
      <c r="J373" s="150"/>
      <c r="K373" s="149"/>
      <c r="L373" s="150"/>
      <c r="M373" s="150"/>
      <c r="N373" s="149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</row>
    <row r="374" ht="21.0" customHeight="1">
      <c r="A374" s="147">
        <v>17.0</v>
      </c>
      <c r="B374" s="148" t="s">
        <v>33</v>
      </c>
      <c r="C374" s="289"/>
      <c r="D374" s="289"/>
      <c r="E374" s="199"/>
      <c r="F374" s="258"/>
      <c r="G374" s="258"/>
      <c r="H374" s="259"/>
      <c r="I374" s="150"/>
      <c r="J374" s="150"/>
      <c r="K374" s="149"/>
      <c r="L374" s="150"/>
      <c r="M374" s="150"/>
      <c r="N374" s="149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</row>
    <row r="375" ht="21.0" customHeight="1">
      <c r="A375" s="147">
        <v>18.0</v>
      </c>
      <c r="B375" s="148" t="s">
        <v>34</v>
      </c>
      <c r="C375" s="289"/>
      <c r="D375" s="289"/>
      <c r="E375" s="199"/>
      <c r="F375" s="258"/>
      <c r="G375" s="258"/>
      <c r="H375" s="259"/>
      <c r="I375" s="150"/>
      <c r="J375" s="150"/>
      <c r="K375" s="149"/>
      <c r="L375" s="150"/>
      <c r="M375" s="150"/>
      <c r="N375" s="149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</row>
    <row r="376" ht="21.0" customHeight="1">
      <c r="A376" s="147">
        <v>19.0</v>
      </c>
      <c r="B376" s="148" t="s">
        <v>35</v>
      </c>
      <c r="C376" s="289"/>
      <c r="D376" s="289"/>
      <c r="E376" s="199"/>
      <c r="F376" s="258"/>
      <c r="G376" s="258"/>
      <c r="H376" s="259"/>
      <c r="I376" s="150"/>
      <c r="J376" s="150"/>
      <c r="K376" s="149"/>
      <c r="L376" s="150"/>
      <c r="M376" s="150"/>
      <c r="N376" s="149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</row>
    <row r="377" ht="21.0" customHeight="1">
      <c r="A377" s="171"/>
      <c r="B377" s="21"/>
      <c r="C377" s="174">
        <f t="shared" ref="C377:D377" si="109">SUM(C358)</f>
        <v>18000</v>
      </c>
      <c r="D377" s="174">
        <f t="shared" si="109"/>
        <v>18000</v>
      </c>
      <c r="E377" s="302" t="s">
        <v>115</v>
      </c>
      <c r="F377" s="174"/>
      <c r="G377" s="174"/>
      <c r="H377" s="174"/>
      <c r="I377" s="174"/>
      <c r="J377" s="192"/>
      <c r="K377" s="173"/>
      <c r="L377" s="174"/>
      <c r="M377" s="192"/>
      <c r="N377" s="173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</row>
    <row r="378" ht="21.0" customHeight="1"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</row>
    <row r="379" ht="21.0" customHeight="1"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</row>
    <row r="380" ht="21.0" customHeight="1">
      <c r="A380" s="131" t="s">
        <v>91</v>
      </c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</row>
    <row r="381" ht="21.0" customHeight="1">
      <c r="A381" s="131" t="s">
        <v>92</v>
      </c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</row>
    <row r="382" ht="21.0" customHeight="1">
      <c r="A382" s="133" t="s">
        <v>4</v>
      </c>
      <c r="B382" s="133" t="s">
        <v>5</v>
      </c>
      <c r="C382" s="306" t="s">
        <v>167</v>
      </c>
      <c r="D382" s="7"/>
      <c r="E382" s="8"/>
      <c r="F382" s="306" t="s">
        <v>168</v>
      </c>
      <c r="G382" s="7"/>
      <c r="H382" s="8"/>
      <c r="I382" s="307" t="s">
        <v>169</v>
      </c>
      <c r="J382" s="7"/>
      <c r="K382" s="8"/>
      <c r="L382" s="307" t="s">
        <v>170</v>
      </c>
      <c r="M382" s="7"/>
      <c r="N382" s="8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</row>
    <row r="383" ht="21.0" customHeight="1">
      <c r="A383" s="12"/>
      <c r="B383" s="12"/>
      <c r="C383" s="14"/>
      <c r="D383" s="15"/>
      <c r="E383" s="16"/>
      <c r="F383" s="14"/>
      <c r="G383" s="15"/>
      <c r="H383" s="16"/>
      <c r="I383" s="14"/>
      <c r="J383" s="15"/>
      <c r="K383" s="16"/>
      <c r="L383" s="14"/>
      <c r="M383" s="15"/>
      <c r="N383" s="16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</row>
    <row r="384" ht="21.0" customHeight="1">
      <c r="A384" s="12"/>
      <c r="B384" s="12"/>
      <c r="C384" s="308" t="s">
        <v>114</v>
      </c>
      <c r="D384" s="20"/>
      <c r="E384" s="21"/>
      <c r="F384" s="308" t="s">
        <v>114</v>
      </c>
      <c r="G384" s="20"/>
      <c r="H384" s="21"/>
      <c r="I384" s="309" t="s">
        <v>114</v>
      </c>
      <c r="K384" s="13"/>
      <c r="L384" s="309" t="s">
        <v>114</v>
      </c>
      <c r="N384" s="13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</row>
    <row r="385" ht="21.0" customHeight="1">
      <c r="A385" s="22"/>
      <c r="B385" s="22"/>
      <c r="C385" s="144" t="s">
        <v>13</v>
      </c>
      <c r="D385" s="144" t="s">
        <v>14</v>
      </c>
      <c r="E385" s="144" t="s">
        <v>15</v>
      </c>
      <c r="F385" s="144" t="s">
        <v>13</v>
      </c>
      <c r="G385" s="144" t="s">
        <v>14</v>
      </c>
      <c r="H385" s="144" t="s">
        <v>15</v>
      </c>
      <c r="I385" s="144" t="s">
        <v>13</v>
      </c>
      <c r="J385" s="144" t="s">
        <v>14</v>
      </c>
      <c r="K385" s="144" t="s">
        <v>15</v>
      </c>
      <c r="L385" s="144" t="s">
        <v>13</v>
      </c>
      <c r="M385" s="144" t="s">
        <v>14</v>
      </c>
      <c r="N385" s="144" t="s">
        <v>15</v>
      </c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</row>
    <row r="386" ht="21.0" customHeight="1">
      <c r="A386" s="147">
        <v>1.0</v>
      </c>
      <c r="B386" s="148" t="s">
        <v>17</v>
      </c>
      <c r="C386" s="208">
        <v>3400.0</v>
      </c>
      <c r="D386" s="310">
        <f>300+3100</f>
        <v>3400</v>
      </c>
      <c r="E386" s="311">
        <f>C386-D386</f>
        <v>0</v>
      </c>
      <c r="F386" s="208">
        <v>20000.0</v>
      </c>
      <c r="G386" s="312">
        <f>9300+10700</f>
        <v>20000</v>
      </c>
      <c r="H386" s="313">
        <f>F386-G386</f>
        <v>0</v>
      </c>
      <c r="I386" s="314">
        <v>10100.0</v>
      </c>
      <c r="J386" s="315">
        <f>8100+450+1550</f>
        <v>10100</v>
      </c>
      <c r="K386" s="316">
        <f>I386-J386</f>
        <v>0</v>
      </c>
      <c r="L386" s="208">
        <v>14900.0</v>
      </c>
      <c r="M386" s="266">
        <f>6900+8000</f>
        <v>14900</v>
      </c>
      <c r="N386" s="316">
        <f>L386-M386</f>
        <v>0</v>
      </c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</row>
    <row r="387" ht="21.0" customHeight="1">
      <c r="A387" s="147">
        <v>2.0</v>
      </c>
      <c r="B387" s="159" t="s">
        <v>18</v>
      </c>
      <c r="C387" s="151"/>
      <c r="D387" s="152"/>
      <c r="E387" s="199"/>
      <c r="F387" s="151"/>
      <c r="G387" s="152"/>
      <c r="H387" s="199"/>
      <c r="I387" s="151"/>
      <c r="J387" s="152"/>
      <c r="K387" s="199"/>
      <c r="L387" s="151"/>
      <c r="M387" s="152"/>
      <c r="N387" s="199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</row>
    <row r="388" ht="21.0" customHeight="1">
      <c r="A388" s="147">
        <v>3.0</v>
      </c>
      <c r="B388" s="148" t="s">
        <v>19</v>
      </c>
      <c r="C388" s="151"/>
      <c r="D388" s="151"/>
      <c r="E388" s="199"/>
      <c r="F388" s="151"/>
      <c r="G388" s="151"/>
      <c r="H388" s="199"/>
      <c r="I388" s="151"/>
      <c r="J388" s="151"/>
      <c r="K388" s="199"/>
      <c r="L388" s="151"/>
      <c r="M388" s="151"/>
      <c r="N388" s="199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</row>
    <row r="389" ht="21.0" customHeight="1">
      <c r="A389" s="147">
        <v>4.0</v>
      </c>
      <c r="B389" s="148" t="s">
        <v>20</v>
      </c>
      <c r="C389" s="151"/>
      <c r="D389" s="152"/>
      <c r="E389" s="199"/>
      <c r="F389" s="151"/>
      <c r="G389" s="152"/>
      <c r="H389" s="199"/>
      <c r="I389" s="151"/>
      <c r="J389" s="152"/>
      <c r="K389" s="199"/>
      <c r="L389" s="151"/>
      <c r="M389" s="152"/>
      <c r="N389" s="199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</row>
    <row r="390" ht="21.0" customHeight="1">
      <c r="A390" s="147">
        <v>5.0</v>
      </c>
      <c r="B390" s="148" t="s">
        <v>21</v>
      </c>
      <c r="C390" s="151"/>
      <c r="D390" s="152"/>
      <c r="E390" s="199"/>
      <c r="F390" s="151"/>
      <c r="G390" s="152"/>
      <c r="H390" s="199"/>
      <c r="I390" s="151"/>
      <c r="J390" s="152"/>
      <c r="K390" s="199"/>
      <c r="L390" s="151"/>
      <c r="M390" s="152"/>
      <c r="N390" s="199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</row>
    <row r="391" ht="21.0" customHeight="1">
      <c r="A391" s="147">
        <v>6.0</v>
      </c>
      <c r="B391" s="148" t="s">
        <v>22</v>
      </c>
      <c r="C391" s="151"/>
      <c r="D391" s="152"/>
      <c r="E391" s="199"/>
      <c r="F391" s="151"/>
      <c r="G391" s="152"/>
      <c r="H391" s="199"/>
      <c r="I391" s="151"/>
      <c r="J391" s="152"/>
      <c r="K391" s="199"/>
      <c r="L391" s="151"/>
      <c r="M391" s="152"/>
      <c r="N391" s="199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</row>
    <row r="392" ht="21.0" customHeight="1">
      <c r="A392" s="147">
        <v>7.0</v>
      </c>
      <c r="B392" s="148" t="s">
        <v>23</v>
      </c>
      <c r="C392" s="151"/>
      <c r="D392" s="152"/>
      <c r="E392" s="199"/>
      <c r="F392" s="151"/>
      <c r="G392" s="152"/>
      <c r="H392" s="199"/>
      <c r="I392" s="151"/>
      <c r="J392" s="152"/>
      <c r="K392" s="199"/>
      <c r="L392" s="151"/>
      <c r="M392" s="152"/>
      <c r="N392" s="199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</row>
    <row r="393" ht="21.0" customHeight="1">
      <c r="A393" s="147">
        <v>8.0</v>
      </c>
      <c r="B393" s="148" t="s">
        <v>24</v>
      </c>
      <c r="C393" s="151"/>
      <c r="D393" s="152"/>
      <c r="E393" s="199"/>
      <c r="F393" s="151"/>
      <c r="G393" s="152"/>
      <c r="H393" s="199"/>
      <c r="I393" s="151"/>
      <c r="J393" s="152"/>
      <c r="K393" s="199"/>
      <c r="L393" s="151"/>
      <c r="M393" s="152"/>
      <c r="N393" s="199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</row>
    <row r="394" ht="21.0" customHeight="1">
      <c r="A394" s="147">
        <v>9.0</v>
      </c>
      <c r="B394" s="148" t="s">
        <v>25</v>
      </c>
      <c r="C394" s="151"/>
      <c r="D394" s="151"/>
      <c r="E394" s="199"/>
      <c r="F394" s="151"/>
      <c r="G394" s="151"/>
      <c r="H394" s="199"/>
      <c r="I394" s="151"/>
      <c r="J394" s="151"/>
      <c r="K394" s="199"/>
      <c r="L394" s="151"/>
      <c r="M394" s="151"/>
      <c r="N394" s="199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</row>
    <row r="395" ht="21.0" customHeight="1">
      <c r="A395" s="147">
        <v>10.0</v>
      </c>
      <c r="B395" s="148" t="s">
        <v>26</v>
      </c>
      <c r="C395" s="151"/>
      <c r="D395" s="152"/>
      <c r="E395" s="199"/>
      <c r="F395" s="151"/>
      <c r="G395" s="152"/>
      <c r="H395" s="199"/>
      <c r="I395" s="151"/>
      <c r="J395" s="152"/>
      <c r="K395" s="199"/>
      <c r="L395" s="151"/>
      <c r="M395" s="152"/>
      <c r="N395" s="199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</row>
    <row r="396" ht="21.0" customHeight="1">
      <c r="A396" s="147">
        <v>11.0</v>
      </c>
      <c r="B396" s="148" t="s">
        <v>27</v>
      </c>
      <c r="C396" s="151"/>
      <c r="D396" s="152"/>
      <c r="E396" s="199"/>
      <c r="F396" s="151"/>
      <c r="G396" s="152"/>
      <c r="H396" s="199"/>
      <c r="I396" s="151"/>
      <c r="J396" s="152"/>
      <c r="K396" s="199"/>
      <c r="L396" s="151"/>
      <c r="M396" s="152"/>
      <c r="N396" s="199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</row>
    <row r="397" ht="21.0" customHeight="1">
      <c r="A397" s="147">
        <v>12.0</v>
      </c>
      <c r="B397" s="148" t="s">
        <v>28</v>
      </c>
      <c r="C397" s="151"/>
      <c r="D397" s="152"/>
      <c r="E397" s="199"/>
      <c r="F397" s="151"/>
      <c r="G397" s="152"/>
      <c r="H397" s="199"/>
      <c r="I397" s="151"/>
      <c r="J397" s="152"/>
      <c r="K397" s="199"/>
      <c r="L397" s="151"/>
      <c r="M397" s="152"/>
      <c r="N397" s="199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</row>
    <row r="398" ht="21.0" customHeight="1">
      <c r="A398" s="147">
        <v>13.0</v>
      </c>
      <c r="B398" s="148" t="s">
        <v>29</v>
      </c>
      <c r="C398" s="151"/>
      <c r="D398" s="152"/>
      <c r="E398" s="199"/>
      <c r="F398" s="151"/>
      <c r="G398" s="152"/>
      <c r="H398" s="199"/>
      <c r="I398" s="151"/>
      <c r="J398" s="152"/>
      <c r="K398" s="199"/>
      <c r="L398" s="151"/>
      <c r="M398" s="152"/>
      <c r="N398" s="199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</row>
    <row r="399" ht="21.0" customHeight="1">
      <c r="A399" s="147">
        <v>14.0</v>
      </c>
      <c r="B399" s="148" t="s">
        <v>30</v>
      </c>
      <c r="C399" s="151"/>
      <c r="D399" s="151"/>
      <c r="E399" s="199"/>
      <c r="F399" s="151"/>
      <c r="G399" s="151"/>
      <c r="H399" s="199"/>
      <c r="I399" s="151"/>
      <c r="J399" s="151"/>
      <c r="K399" s="199"/>
      <c r="L399" s="151"/>
      <c r="M399" s="151"/>
      <c r="N399" s="199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</row>
    <row r="400" ht="21.0" customHeight="1">
      <c r="A400" s="147">
        <v>15.0</v>
      </c>
      <c r="B400" s="148" t="s">
        <v>31</v>
      </c>
      <c r="C400" s="151"/>
      <c r="D400" s="152"/>
      <c r="E400" s="199"/>
      <c r="F400" s="151"/>
      <c r="G400" s="152"/>
      <c r="H400" s="199"/>
      <c r="I400" s="151"/>
      <c r="J400" s="152"/>
      <c r="K400" s="199"/>
      <c r="L400" s="151"/>
      <c r="M400" s="152"/>
      <c r="N400" s="199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</row>
    <row r="401" ht="21.0" customHeight="1">
      <c r="A401" s="147">
        <v>16.0</v>
      </c>
      <c r="B401" s="148" t="s">
        <v>32</v>
      </c>
      <c r="C401" s="151"/>
      <c r="D401" s="152"/>
      <c r="E401" s="199"/>
      <c r="F401" s="151"/>
      <c r="G401" s="152"/>
      <c r="H401" s="199"/>
      <c r="I401" s="151"/>
      <c r="J401" s="152"/>
      <c r="K401" s="199"/>
      <c r="L401" s="151"/>
      <c r="M401" s="152"/>
      <c r="N401" s="199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</row>
    <row r="402" ht="21.0" customHeight="1">
      <c r="A402" s="147">
        <v>17.0</v>
      </c>
      <c r="B402" s="148" t="s">
        <v>33</v>
      </c>
      <c r="C402" s="151"/>
      <c r="D402" s="152"/>
      <c r="E402" s="199"/>
      <c r="F402" s="151"/>
      <c r="G402" s="152"/>
      <c r="H402" s="199"/>
      <c r="I402" s="151"/>
      <c r="J402" s="152"/>
      <c r="K402" s="199"/>
      <c r="L402" s="151"/>
      <c r="M402" s="152"/>
      <c r="N402" s="199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</row>
    <row r="403" ht="21.0" customHeight="1">
      <c r="A403" s="147">
        <v>18.0</v>
      </c>
      <c r="B403" s="148" t="s">
        <v>34</v>
      </c>
      <c r="C403" s="151"/>
      <c r="D403" s="152"/>
      <c r="E403" s="199"/>
      <c r="F403" s="151"/>
      <c r="G403" s="152"/>
      <c r="H403" s="199"/>
      <c r="I403" s="151"/>
      <c r="J403" s="152"/>
      <c r="K403" s="199"/>
      <c r="L403" s="151"/>
      <c r="M403" s="152"/>
      <c r="N403" s="199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</row>
    <row r="404" ht="21.0" customHeight="1">
      <c r="A404" s="147">
        <v>19.0</v>
      </c>
      <c r="B404" s="148" t="s">
        <v>35</v>
      </c>
      <c r="C404" s="151"/>
      <c r="D404" s="152"/>
      <c r="E404" s="199"/>
      <c r="F404" s="151"/>
      <c r="G404" s="152"/>
      <c r="H404" s="199"/>
      <c r="I404" s="151"/>
      <c r="J404" s="152"/>
      <c r="K404" s="199"/>
      <c r="L404" s="151"/>
      <c r="M404" s="152"/>
      <c r="N404" s="199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</row>
    <row r="405" ht="21.0" customHeight="1">
      <c r="A405" s="317"/>
      <c r="B405" s="8"/>
      <c r="C405" s="318">
        <f>SUM(C386:C404)</f>
        <v>3400</v>
      </c>
      <c r="D405" s="319"/>
      <c r="E405" s="320">
        <f t="shared" ref="E405:F405" si="110">SUM(E386:E404)</f>
        <v>0</v>
      </c>
      <c r="F405" s="318">
        <f t="shared" si="110"/>
        <v>20000</v>
      </c>
      <c r="G405" s="319"/>
      <c r="H405" s="320">
        <f t="shared" ref="H405:I405" si="111">SUM(H386:H404)</f>
        <v>0</v>
      </c>
      <c r="I405" s="318">
        <f t="shared" si="111"/>
        <v>10100</v>
      </c>
      <c r="J405" s="319"/>
      <c r="K405" s="320"/>
      <c r="L405" s="318">
        <f>SUM(L386:L404)</f>
        <v>14900</v>
      </c>
      <c r="M405" s="319"/>
      <c r="N405" s="320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</row>
    <row r="406" ht="23.25" customHeight="1"/>
    <row r="407" ht="23.25" customHeight="1"/>
    <row r="408" ht="23.25" customHeight="1"/>
    <row r="409" ht="23.25" customHeight="1"/>
    <row r="410">
      <c r="A410" s="131" t="s">
        <v>91</v>
      </c>
    </row>
    <row r="411">
      <c r="A411" s="131" t="s">
        <v>92</v>
      </c>
    </row>
    <row r="412" ht="21.0" customHeight="1">
      <c r="A412" s="133" t="s">
        <v>4</v>
      </c>
      <c r="B412" s="133" t="s">
        <v>5</v>
      </c>
      <c r="C412" s="135" t="s">
        <v>171</v>
      </c>
      <c r="D412" s="7"/>
      <c r="E412" s="8"/>
      <c r="F412" s="135" t="s">
        <v>172</v>
      </c>
      <c r="G412" s="7"/>
      <c r="H412" s="8"/>
      <c r="I412" s="267" t="s">
        <v>173</v>
      </c>
      <c r="J412" s="7"/>
      <c r="K412" s="8"/>
      <c r="L412" s="307" t="s">
        <v>174</v>
      </c>
      <c r="M412" s="7"/>
      <c r="N412" s="8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</row>
    <row r="413" ht="21.0" customHeight="1">
      <c r="A413" s="12"/>
      <c r="B413" s="12"/>
      <c r="C413" s="14"/>
      <c r="D413" s="15"/>
      <c r="E413" s="16"/>
      <c r="F413" s="14"/>
      <c r="G413" s="15"/>
      <c r="H413" s="16"/>
      <c r="I413" s="14"/>
      <c r="J413" s="15"/>
      <c r="K413" s="16"/>
      <c r="L413" s="14"/>
      <c r="M413" s="15"/>
      <c r="N413" s="16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</row>
    <row r="414" ht="21.0" customHeight="1">
      <c r="A414" s="12"/>
      <c r="B414" s="12"/>
      <c r="C414" s="140" t="s">
        <v>99</v>
      </c>
      <c r="E414" s="13"/>
      <c r="F414" s="140" t="s">
        <v>175</v>
      </c>
      <c r="H414" s="13"/>
      <c r="I414" s="141" t="s">
        <v>114</v>
      </c>
      <c r="K414" s="13"/>
      <c r="L414" s="321" t="s">
        <v>114</v>
      </c>
      <c r="N414" s="13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</row>
    <row r="415" ht="21.0" customHeight="1">
      <c r="A415" s="22"/>
      <c r="B415" s="22"/>
      <c r="C415" s="144" t="s">
        <v>13</v>
      </c>
      <c r="D415" s="144" t="s">
        <v>14</v>
      </c>
      <c r="E415" s="144" t="s">
        <v>15</v>
      </c>
      <c r="F415" s="144"/>
      <c r="G415" s="144"/>
      <c r="H415" s="322"/>
      <c r="I415" s="144" t="s">
        <v>13</v>
      </c>
      <c r="J415" s="144" t="s">
        <v>14</v>
      </c>
      <c r="K415" s="144" t="s">
        <v>15</v>
      </c>
      <c r="L415" s="323" t="s">
        <v>13</v>
      </c>
      <c r="M415" s="323" t="s">
        <v>14</v>
      </c>
      <c r="N415" s="323" t="s">
        <v>15</v>
      </c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</row>
    <row r="416" ht="21.0" customHeight="1">
      <c r="A416" s="147">
        <v>1.0</v>
      </c>
      <c r="B416" s="148" t="s">
        <v>17</v>
      </c>
      <c r="C416" s="154">
        <v>60000.0</v>
      </c>
      <c r="D416" s="150">
        <f>60000</f>
        <v>60000</v>
      </c>
      <c r="E416" s="153">
        <f>C416-D416</f>
        <v>0</v>
      </c>
      <c r="F416" s="154">
        <v>7900.0</v>
      </c>
      <c r="G416" s="324">
        <f>885.6+1200+1128+1816+1320</f>
        <v>6349.6</v>
      </c>
      <c r="H416" s="325">
        <f>F416-G416</f>
        <v>1550.4</v>
      </c>
      <c r="I416" s="151">
        <v>5000.0</v>
      </c>
      <c r="J416" s="151">
        <v>5000.0</v>
      </c>
      <c r="K416" s="153">
        <f>I416-J416</f>
        <v>0</v>
      </c>
      <c r="L416" s="154">
        <v>23800.0</v>
      </c>
      <c r="M416" s="154">
        <f>18300+3150+2350</f>
        <v>23800</v>
      </c>
      <c r="N416" s="153">
        <f>L416-M416</f>
        <v>0</v>
      </c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</row>
    <row r="417" ht="21.0" customHeight="1">
      <c r="A417" s="147">
        <v>2.0</v>
      </c>
      <c r="B417" s="159" t="s">
        <v>18</v>
      </c>
      <c r="C417" s="150"/>
      <c r="D417" s="150"/>
      <c r="E417" s="149"/>
      <c r="F417" s="150"/>
      <c r="G417" s="150"/>
      <c r="H417" s="326"/>
      <c r="I417" s="152"/>
      <c r="J417" s="152"/>
      <c r="K417" s="149"/>
      <c r="L417" s="150"/>
      <c r="M417" s="150"/>
      <c r="N417" s="160" t="s">
        <v>176</v>
      </c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</row>
    <row r="418" ht="21.0" customHeight="1">
      <c r="A418" s="147">
        <v>3.0</v>
      </c>
      <c r="B418" s="148" t="s">
        <v>19</v>
      </c>
      <c r="C418" s="150"/>
      <c r="D418" s="150"/>
      <c r="E418" s="149"/>
      <c r="F418" s="150"/>
      <c r="G418" s="150"/>
      <c r="H418" s="149"/>
      <c r="I418" s="152"/>
      <c r="J418" s="152"/>
      <c r="K418" s="149"/>
      <c r="L418" s="150"/>
      <c r="M418" s="150"/>
      <c r="N418" s="149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</row>
    <row r="419" ht="21.0" customHeight="1">
      <c r="A419" s="147">
        <v>4.0</v>
      </c>
      <c r="B419" s="148" t="s">
        <v>20</v>
      </c>
      <c r="C419" s="150"/>
      <c r="D419" s="150"/>
      <c r="E419" s="149"/>
      <c r="F419" s="150"/>
      <c r="G419" s="150"/>
      <c r="H419" s="149"/>
      <c r="I419" s="152"/>
      <c r="J419" s="152"/>
      <c r="K419" s="149"/>
      <c r="L419" s="150"/>
      <c r="M419" s="150"/>
      <c r="N419" s="149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</row>
    <row r="420" ht="21.0" customHeight="1">
      <c r="A420" s="147">
        <v>5.0</v>
      </c>
      <c r="B420" s="148" t="s">
        <v>21</v>
      </c>
      <c r="C420" s="150"/>
      <c r="D420" s="150"/>
      <c r="E420" s="149"/>
      <c r="F420" s="150"/>
      <c r="G420" s="150"/>
      <c r="H420" s="149"/>
      <c r="I420" s="152"/>
      <c r="J420" s="152"/>
      <c r="K420" s="149"/>
      <c r="L420" s="150"/>
      <c r="M420" s="150"/>
      <c r="N420" s="149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</row>
    <row r="421" ht="21.0" customHeight="1">
      <c r="A421" s="147">
        <v>6.0</v>
      </c>
      <c r="B421" s="148" t="s">
        <v>22</v>
      </c>
      <c r="C421" s="150"/>
      <c r="D421" s="150"/>
      <c r="E421" s="149"/>
      <c r="F421" s="150"/>
      <c r="G421" s="150"/>
      <c r="H421" s="149"/>
      <c r="I421" s="152"/>
      <c r="J421" s="152"/>
      <c r="K421" s="149"/>
      <c r="L421" s="150"/>
      <c r="M421" s="150"/>
      <c r="N421" s="149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</row>
    <row r="422" ht="21.0" customHeight="1">
      <c r="A422" s="147">
        <v>7.0</v>
      </c>
      <c r="B422" s="148" t="s">
        <v>23</v>
      </c>
      <c r="C422" s="150"/>
      <c r="D422" s="150"/>
      <c r="E422" s="149"/>
      <c r="F422" s="150"/>
      <c r="G422" s="150"/>
      <c r="H422" s="149"/>
      <c r="I422" s="152"/>
      <c r="J422" s="152"/>
      <c r="K422" s="149"/>
      <c r="L422" s="150"/>
      <c r="M422" s="150"/>
      <c r="N422" s="149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</row>
    <row r="423" ht="21.0" customHeight="1">
      <c r="A423" s="147">
        <v>8.0</v>
      </c>
      <c r="B423" s="148" t="s">
        <v>24</v>
      </c>
      <c r="C423" s="150"/>
      <c r="D423" s="150"/>
      <c r="E423" s="149"/>
      <c r="F423" s="150"/>
      <c r="G423" s="150"/>
      <c r="H423" s="149"/>
      <c r="I423" s="152"/>
      <c r="J423" s="152"/>
      <c r="K423" s="149"/>
      <c r="L423" s="150"/>
      <c r="M423" s="150"/>
      <c r="N423" s="149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</row>
    <row r="424" ht="21.0" customHeight="1">
      <c r="A424" s="147">
        <v>9.0</v>
      </c>
      <c r="B424" s="148" t="s">
        <v>25</v>
      </c>
      <c r="C424" s="150"/>
      <c r="D424" s="150"/>
      <c r="E424" s="149"/>
      <c r="F424" s="150"/>
      <c r="G424" s="150"/>
      <c r="H424" s="149"/>
      <c r="I424" s="152"/>
      <c r="J424" s="152"/>
      <c r="K424" s="149"/>
      <c r="L424" s="150"/>
      <c r="M424" s="150"/>
      <c r="N424" s="149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</row>
    <row r="425" ht="21.0" customHeight="1">
      <c r="A425" s="147">
        <v>10.0</v>
      </c>
      <c r="B425" s="148" t="s">
        <v>26</v>
      </c>
      <c r="C425" s="150"/>
      <c r="D425" s="150"/>
      <c r="E425" s="149"/>
      <c r="F425" s="150"/>
      <c r="G425" s="150"/>
      <c r="H425" s="149"/>
      <c r="I425" s="152"/>
      <c r="J425" s="152"/>
      <c r="K425" s="149"/>
      <c r="L425" s="150"/>
      <c r="M425" s="150"/>
      <c r="N425" s="149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</row>
    <row r="426" ht="21.0" customHeight="1">
      <c r="A426" s="147">
        <v>11.0</v>
      </c>
      <c r="B426" s="148" t="s">
        <v>27</v>
      </c>
      <c r="C426" s="150"/>
      <c r="D426" s="150"/>
      <c r="E426" s="149"/>
      <c r="F426" s="150"/>
      <c r="G426" s="150"/>
      <c r="H426" s="149"/>
      <c r="I426" s="152"/>
      <c r="J426" s="152"/>
      <c r="K426" s="149"/>
      <c r="L426" s="150"/>
      <c r="M426" s="150"/>
      <c r="N426" s="149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</row>
    <row r="427" ht="21.0" customHeight="1">
      <c r="A427" s="147">
        <v>12.0</v>
      </c>
      <c r="B427" s="148" t="s">
        <v>28</v>
      </c>
      <c r="C427" s="150"/>
      <c r="D427" s="150"/>
      <c r="E427" s="149"/>
      <c r="F427" s="150"/>
      <c r="G427" s="150"/>
      <c r="H427" s="149"/>
      <c r="I427" s="152"/>
      <c r="J427" s="152"/>
      <c r="K427" s="149"/>
      <c r="L427" s="150"/>
      <c r="M427" s="150"/>
      <c r="N427" s="149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</row>
    <row r="428" ht="21.0" customHeight="1">
      <c r="A428" s="147">
        <v>13.0</v>
      </c>
      <c r="B428" s="148" t="s">
        <v>29</v>
      </c>
      <c r="C428" s="150"/>
      <c r="D428" s="150"/>
      <c r="E428" s="149"/>
      <c r="F428" s="150"/>
      <c r="G428" s="150"/>
      <c r="H428" s="149"/>
      <c r="I428" s="152"/>
      <c r="J428" s="152"/>
      <c r="K428" s="149"/>
      <c r="L428" s="150"/>
      <c r="M428" s="150"/>
      <c r="N428" s="149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</row>
    <row r="429" ht="21.0" customHeight="1">
      <c r="A429" s="147">
        <v>14.0</v>
      </c>
      <c r="B429" s="148" t="s">
        <v>30</v>
      </c>
      <c r="C429" s="150"/>
      <c r="D429" s="150"/>
      <c r="E429" s="149"/>
      <c r="F429" s="150"/>
      <c r="G429" s="150"/>
      <c r="H429" s="149"/>
      <c r="I429" s="152"/>
      <c r="J429" s="152"/>
      <c r="K429" s="149"/>
      <c r="L429" s="150"/>
      <c r="M429" s="150"/>
      <c r="N429" s="149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</row>
    <row r="430" ht="21.0" customHeight="1">
      <c r="A430" s="147">
        <v>15.0</v>
      </c>
      <c r="B430" s="148" t="s">
        <v>31</v>
      </c>
      <c r="C430" s="150"/>
      <c r="D430" s="150"/>
      <c r="E430" s="149"/>
      <c r="F430" s="150"/>
      <c r="G430" s="150"/>
      <c r="H430" s="149"/>
      <c r="I430" s="152"/>
      <c r="J430" s="152"/>
      <c r="K430" s="149"/>
      <c r="L430" s="150"/>
      <c r="M430" s="150"/>
      <c r="N430" s="149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</row>
    <row r="431" ht="21.0" customHeight="1">
      <c r="A431" s="147">
        <v>16.0</v>
      </c>
      <c r="B431" s="148" t="s">
        <v>32</v>
      </c>
      <c r="C431" s="150"/>
      <c r="D431" s="150"/>
      <c r="E431" s="149"/>
      <c r="F431" s="150"/>
      <c r="G431" s="150"/>
      <c r="H431" s="149"/>
      <c r="I431" s="152"/>
      <c r="J431" s="152"/>
      <c r="K431" s="149"/>
      <c r="L431" s="150"/>
      <c r="M431" s="150"/>
      <c r="N431" s="149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</row>
    <row r="432" ht="21.0" customHeight="1">
      <c r="A432" s="147">
        <v>17.0</v>
      </c>
      <c r="B432" s="148" t="s">
        <v>33</v>
      </c>
      <c r="C432" s="150"/>
      <c r="D432" s="150"/>
      <c r="E432" s="149"/>
      <c r="F432" s="150"/>
      <c r="G432" s="150"/>
      <c r="H432" s="149"/>
      <c r="I432" s="152"/>
      <c r="J432" s="152"/>
      <c r="K432" s="149"/>
      <c r="L432" s="150"/>
      <c r="M432" s="150"/>
      <c r="N432" s="149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</row>
    <row r="433" ht="21.0" customHeight="1">
      <c r="A433" s="147">
        <v>18.0</v>
      </c>
      <c r="B433" s="148" t="s">
        <v>34</v>
      </c>
      <c r="C433" s="150"/>
      <c r="D433" s="150"/>
      <c r="E433" s="149"/>
      <c r="F433" s="150"/>
      <c r="G433" s="150"/>
      <c r="H433" s="149"/>
      <c r="I433" s="152"/>
      <c r="J433" s="152"/>
      <c r="K433" s="149"/>
      <c r="L433" s="150"/>
      <c r="M433" s="150"/>
      <c r="N433" s="149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</row>
    <row r="434" ht="21.0" customHeight="1">
      <c r="A434" s="147">
        <v>19.0</v>
      </c>
      <c r="B434" s="148" t="s">
        <v>35</v>
      </c>
      <c r="C434" s="150"/>
      <c r="D434" s="150"/>
      <c r="E434" s="149"/>
      <c r="F434" s="150"/>
      <c r="G434" s="150"/>
      <c r="H434" s="149"/>
      <c r="I434" s="152"/>
      <c r="J434" s="152"/>
      <c r="K434" s="149"/>
      <c r="L434" s="150"/>
      <c r="M434" s="150"/>
      <c r="N434" s="149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</row>
    <row r="435" ht="21.0" customHeight="1">
      <c r="A435" s="317"/>
      <c r="B435" s="8"/>
      <c r="C435" s="174">
        <f t="shared" ref="C435:J435" si="112">SUM(C416)</f>
        <v>60000</v>
      </c>
      <c r="D435" s="172">
        <f t="shared" si="112"/>
        <v>60000</v>
      </c>
      <c r="E435" s="216">
        <f t="shared" si="112"/>
        <v>0</v>
      </c>
      <c r="F435" s="174">
        <f t="shared" si="112"/>
        <v>7900</v>
      </c>
      <c r="G435" s="172">
        <f t="shared" si="112"/>
        <v>6349.6</v>
      </c>
      <c r="H435" s="173">
        <f t="shared" si="112"/>
        <v>1550.4</v>
      </c>
      <c r="I435" s="320">
        <f t="shared" si="112"/>
        <v>5000</v>
      </c>
      <c r="J435" s="327">
        <f t="shared" si="112"/>
        <v>5000</v>
      </c>
      <c r="K435" s="327">
        <f>I435-J435</f>
        <v>0</v>
      </c>
      <c r="L435" s="174">
        <f t="shared" ref="L435:N435" si="113">SUM(L416)</f>
        <v>23800</v>
      </c>
      <c r="M435" s="172">
        <f t="shared" si="113"/>
        <v>23800</v>
      </c>
      <c r="N435" s="173">
        <f t="shared" si="113"/>
        <v>0</v>
      </c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</row>
    <row r="436" ht="21.0" customHeight="1">
      <c r="A436" s="328"/>
      <c r="B436" s="329"/>
      <c r="C436" s="330"/>
      <c r="D436" s="330"/>
      <c r="E436" s="331"/>
      <c r="F436" s="330"/>
      <c r="G436" s="330"/>
      <c r="H436" s="331"/>
      <c r="I436" s="332"/>
      <c r="J436" s="332"/>
      <c r="K436" s="331"/>
      <c r="L436" s="330"/>
      <c r="M436" s="330"/>
      <c r="N436" s="331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</row>
    <row r="437" ht="21.0" customHeight="1">
      <c r="A437" s="328"/>
      <c r="B437" s="328"/>
      <c r="C437" s="332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</row>
    <row r="438" ht="21.0" customHeight="1">
      <c r="A438" s="328"/>
      <c r="C438" s="332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</row>
    <row r="439" ht="21.0" customHeight="1">
      <c r="A439" s="131" t="s">
        <v>91</v>
      </c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</row>
    <row r="440" ht="21.0" customHeight="1">
      <c r="A440" s="131" t="s">
        <v>92</v>
      </c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</row>
    <row r="441" ht="21.0" customHeight="1">
      <c r="A441" s="133" t="s">
        <v>4</v>
      </c>
      <c r="B441" s="133" t="s">
        <v>5</v>
      </c>
      <c r="C441" s="272" t="s">
        <v>177</v>
      </c>
      <c r="D441" s="7"/>
      <c r="E441" s="8"/>
      <c r="F441" s="272" t="s">
        <v>178</v>
      </c>
      <c r="G441" s="7"/>
      <c r="H441" s="8"/>
      <c r="I441" s="333" t="s">
        <v>179</v>
      </c>
      <c r="J441" s="7"/>
      <c r="K441" s="8"/>
      <c r="L441" s="286" t="s">
        <v>180</v>
      </c>
      <c r="M441" s="7"/>
      <c r="N441" s="8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</row>
    <row r="442" ht="21.0" customHeight="1">
      <c r="A442" s="12"/>
      <c r="B442" s="12"/>
      <c r="C442" s="14"/>
      <c r="D442" s="15"/>
      <c r="E442" s="16"/>
      <c r="F442" s="14"/>
      <c r="G442" s="15"/>
      <c r="H442" s="16"/>
      <c r="I442" s="14"/>
      <c r="J442" s="15"/>
      <c r="K442" s="16"/>
      <c r="L442" s="14"/>
      <c r="M442" s="15"/>
      <c r="N442" s="1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</row>
    <row r="443" ht="21.0" customHeight="1">
      <c r="A443" s="12"/>
      <c r="B443" s="12"/>
      <c r="C443" s="275" t="s">
        <v>12</v>
      </c>
      <c r="E443" s="13"/>
      <c r="F443" s="275" t="s">
        <v>12</v>
      </c>
      <c r="H443" s="13"/>
      <c r="I443" s="334" t="s">
        <v>114</v>
      </c>
      <c r="J443" s="20"/>
      <c r="K443" s="21"/>
      <c r="L443" s="287" t="s">
        <v>175</v>
      </c>
      <c r="M443" s="20"/>
      <c r="N443" s="21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</row>
    <row r="444" ht="21.0" customHeight="1">
      <c r="A444" s="22"/>
      <c r="B444" s="22"/>
      <c r="C444" s="277" t="s">
        <v>13</v>
      </c>
      <c r="D444" s="277" t="s">
        <v>14</v>
      </c>
      <c r="E444" s="277" t="s">
        <v>15</v>
      </c>
      <c r="F444" s="277" t="s">
        <v>13</v>
      </c>
      <c r="G444" s="277" t="s">
        <v>14</v>
      </c>
      <c r="H444" s="277" t="s">
        <v>15</v>
      </c>
      <c r="I444" s="335" t="s">
        <v>13</v>
      </c>
      <c r="J444" s="335" t="s">
        <v>14</v>
      </c>
      <c r="K444" s="335" t="s">
        <v>15</v>
      </c>
      <c r="L444" s="288" t="s">
        <v>13</v>
      </c>
      <c r="M444" s="288" t="s">
        <v>14</v>
      </c>
      <c r="N444" s="288" t="s">
        <v>15</v>
      </c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</row>
    <row r="445" ht="21.0" customHeight="1">
      <c r="A445" s="147">
        <v>1.0</v>
      </c>
      <c r="B445" s="148" t="s">
        <v>17</v>
      </c>
      <c r="C445" s="278">
        <v>72300.0</v>
      </c>
      <c r="D445" s="278">
        <f>69200+2350+750</f>
        <v>72300</v>
      </c>
      <c r="E445" s="279">
        <f>C445-D445</f>
        <v>0</v>
      </c>
      <c r="F445" s="278">
        <v>302700.0</v>
      </c>
      <c r="G445" s="281">
        <f>302700</f>
        <v>302700</v>
      </c>
      <c r="H445" s="336">
        <f>F445-G445</f>
        <v>0</v>
      </c>
      <c r="I445" s="254">
        <v>118600.0</v>
      </c>
      <c r="J445" s="254">
        <f>77600+10435+1050+29515</f>
        <v>118600</v>
      </c>
      <c r="K445" s="337">
        <f>I445-J445</f>
        <v>0</v>
      </c>
      <c r="L445" s="254">
        <v>2500.0</v>
      </c>
      <c r="M445" s="289">
        <f>2500</f>
        <v>2500</v>
      </c>
      <c r="N445" s="153">
        <f>L445-M445</f>
        <v>0</v>
      </c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</row>
    <row r="446" ht="21.0" customHeight="1">
      <c r="A446" s="147">
        <v>2.0</v>
      </c>
      <c r="B446" s="159" t="s">
        <v>18</v>
      </c>
      <c r="C446" s="281"/>
      <c r="D446" s="281"/>
      <c r="E446" s="283"/>
      <c r="F446" s="281"/>
      <c r="G446" s="281"/>
      <c r="H446" s="283"/>
      <c r="I446" s="258"/>
      <c r="J446" s="258"/>
      <c r="K446" s="259"/>
      <c r="L446" s="254"/>
      <c r="M446" s="289"/>
      <c r="N446" s="259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</row>
    <row r="447" ht="21.0" customHeight="1">
      <c r="A447" s="147">
        <v>3.0</v>
      </c>
      <c r="B447" s="148" t="s">
        <v>19</v>
      </c>
      <c r="C447" s="281"/>
      <c r="D447" s="281"/>
      <c r="E447" s="283"/>
      <c r="F447" s="281"/>
      <c r="G447" s="281"/>
      <c r="H447" s="283"/>
      <c r="I447" s="258"/>
      <c r="J447" s="258"/>
      <c r="K447" s="259"/>
      <c r="L447" s="289"/>
      <c r="M447" s="289"/>
      <c r="N447" s="259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</row>
    <row r="448" ht="21.0" customHeight="1">
      <c r="A448" s="147">
        <v>4.0</v>
      </c>
      <c r="B448" s="148" t="s">
        <v>20</v>
      </c>
      <c r="C448" s="281"/>
      <c r="D448" s="281"/>
      <c r="E448" s="283"/>
      <c r="F448" s="281"/>
      <c r="G448" s="281"/>
      <c r="H448" s="283"/>
      <c r="I448" s="258"/>
      <c r="J448" s="258"/>
      <c r="K448" s="259"/>
      <c r="L448" s="289"/>
      <c r="M448" s="289"/>
      <c r="N448" s="259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</row>
    <row r="449" ht="21.0" customHeight="1">
      <c r="A449" s="147">
        <v>5.0</v>
      </c>
      <c r="B449" s="148" t="s">
        <v>21</v>
      </c>
      <c r="C449" s="281"/>
      <c r="D449" s="281"/>
      <c r="E449" s="283"/>
      <c r="F449" s="281"/>
      <c r="G449" s="281"/>
      <c r="H449" s="283"/>
      <c r="I449" s="258"/>
      <c r="J449" s="258"/>
      <c r="K449" s="259"/>
      <c r="L449" s="289"/>
      <c r="M449" s="289"/>
      <c r="N449" s="259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</row>
    <row r="450" ht="21.0" customHeight="1">
      <c r="A450" s="147">
        <v>7.0</v>
      </c>
      <c r="B450" s="148" t="s">
        <v>23</v>
      </c>
      <c r="C450" s="281"/>
      <c r="D450" s="281"/>
      <c r="E450" s="283"/>
      <c r="F450" s="281"/>
      <c r="G450" s="281"/>
      <c r="H450" s="283"/>
      <c r="I450" s="258"/>
      <c r="J450" s="258"/>
      <c r="K450" s="259"/>
      <c r="L450" s="289"/>
      <c r="M450" s="289"/>
      <c r="N450" s="259"/>
      <c r="O450" s="136"/>
      <c r="P450" s="284"/>
      <c r="Q450" s="136"/>
      <c r="R450" s="136"/>
      <c r="S450" s="136"/>
      <c r="T450" s="136"/>
      <c r="U450" s="136"/>
      <c r="V450" s="136"/>
      <c r="W450" s="136"/>
      <c r="X450" s="136"/>
      <c r="Y450" s="136"/>
    </row>
    <row r="451" ht="21.0" customHeight="1">
      <c r="A451" s="147">
        <v>8.0</v>
      </c>
      <c r="B451" s="148" t="s">
        <v>24</v>
      </c>
      <c r="C451" s="281"/>
      <c r="D451" s="281"/>
      <c r="E451" s="283"/>
      <c r="F451" s="281"/>
      <c r="G451" s="281"/>
      <c r="H451" s="283"/>
      <c r="I451" s="258"/>
      <c r="J451" s="258"/>
      <c r="K451" s="259"/>
      <c r="L451" s="289"/>
      <c r="M451" s="289"/>
      <c r="N451" s="259"/>
      <c r="O451" s="136"/>
      <c r="P451" s="284"/>
      <c r="Q451" s="136"/>
      <c r="R451" s="136"/>
      <c r="S451" s="136"/>
      <c r="T451" s="136"/>
      <c r="U451" s="136"/>
      <c r="V451" s="136"/>
      <c r="W451" s="136"/>
      <c r="X451" s="136"/>
      <c r="Y451" s="136"/>
    </row>
    <row r="452" ht="21.0" customHeight="1">
      <c r="A452" s="147">
        <v>9.0</v>
      </c>
      <c r="B452" s="148" t="s">
        <v>25</v>
      </c>
      <c r="C452" s="281"/>
      <c r="D452" s="281"/>
      <c r="E452" s="283"/>
      <c r="F452" s="281"/>
      <c r="G452" s="281"/>
      <c r="H452" s="283"/>
      <c r="I452" s="258"/>
      <c r="J452" s="258"/>
      <c r="K452" s="259"/>
      <c r="L452" s="289"/>
      <c r="M452" s="289"/>
      <c r="N452" s="259"/>
      <c r="O452" s="136"/>
      <c r="P452" s="284"/>
      <c r="Q452" s="136"/>
      <c r="R452" s="136"/>
      <c r="S452" s="136"/>
      <c r="T452" s="136"/>
      <c r="U452" s="136"/>
      <c r="V452" s="136"/>
      <c r="W452" s="136"/>
      <c r="X452" s="136"/>
      <c r="Y452" s="136"/>
    </row>
    <row r="453" ht="21.0" customHeight="1">
      <c r="A453" s="147">
        <v>10.0</v>
      </c>
      <c r="B453" s="148" t="s">
        <v>26</v>
      </c>
      <c r="C453" s="281"/>
      <c r="D453" s="281"/>
      <c r="E453" s="283"/>
      <c r="F453" s="281"/>
      <c r="G453" s="281"/>
      <c r="H453" s="283"/>
      <c r="I453" s="258"/>
      <c r="J453" s="258"/>
      <c r="K453" s="259"/>
      <c r="L453" s="289"/>
      <c r="M453" s="289"/>
      <c r="N453" s="259"/>
      <c r="O453" s="136"/>
      <c r="P453" s="284"/>
      <c r="Q453" s="136"/>
      <c r="R453" s="136"/>
      <c r="S453" s="136"/>
      <c r="T453" s="136"/>
      <c r="U453" s="136"/>
      <c r="V453" s="136"/>
      <c r="W453" s="136"/>
      <c r="X453" s="136"/>
      <c r="Y453" s="136"/>
    </row>
    <row r="454" ht="21.0" customHeight="1">
      <c r="A454" s="147">
        <v>11.0</v>
      </c>
      <c r="B454" s="148" t="s">
        <v>27</v>
      </c>
      <c r="C454" s="281"/>
      <c r="D454" s="281"/>
      <c r="E454" s="283"/>
      <c r="F454" s="281"/>
      <c r="G454" s="281"/>
      <c r="H454" s="283"/>
      <c r="I454" s="258"/>
      <c r="J454" s="258"/>
      <c r="K454" s="259"/>
      <c r="L454" s="289"/>
      <c r="M454" s="289"/>
      <c r="N454" s="259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</row>
    <row r="455" ht="21.0" customHeight="1">
      <c r="A455" s="147">
        <v>12.0</v>
      </c>
      <c r="B455" s="148" t="s">
        <v>28</v>
      </c>
      <c r="C455" s="281"/>
      <c r="D455" s="281"/>
      <c r="E455" s="283"/>
      <c r="F455" s="281"/>
      <c r="G455" s="281"/>
      <c r="H455" s="283"/>
      <c r="I455" s="258"/>
      <c r="J455" s="258"/>
      <c r="K455" s="259"/>
      <c r="L455" s="289"/>
      <c r="M455" s="289"/>
      <c r="N455" s="259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</row>
    <row r="456" ht="21.0" customHeight="1">
      <c r="A456" s="147">
        <v>13.0</v>
      </c>
      <c r="B456" s="148" t="s">
        <v>29</v>
      </c>
      <c r="C456" s="281"/>
      <c r="D456" s="281"/>
      <c r="E456" s="283"/>
      <c r="F456" s="281"/>
      <c r="G456" s="281"/>
      <c r="H456" s="283"/>
      <c r="I456" s="258"/>
      <c r="J456" s="258"/>
      <c r="K456" s="259"/>
      <c r="L456" s="289"/>
      <c r="M456" s="289"/>
      <c r="N456" s="259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</row>
    <row r="457" ht="21.0" customHeight="1">
      <c r="A457" s="147">
        <v>14.0</v>
      </c>
      <c r="B457" s="148" t="s">
        <v>30</v>
      </c>
      <c r="C457" s="281"/>
      <c r="D457" s="281"/>
      <c r="E457" s="283"/>
      <c r="F457" s="281"/>
      <c r="G457" s="281"/>
      <c r="H457" s="283"/>
      <c r="I457" s="258"/>
      <c r="J457" s="258"/>
      <c r="K457" s="259"/>
      <c r="L457" s="289"/>
      <c r="M457" s="289"/>
      <c r="N457" s="259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</row>
    <row r="458" ht="21.0" customHeight="1">
      <c r="A458" s="147">
        <v>15.0</v>
      </c>
      <c r="B458" s="148" t="s">
        <v>31</v>
      </c>
      <c r="C458" s="281"/>
      <c r="D458" s="281"/>
      <c r="E458" s="283"/>
      <c r="F458" s="281"/>
      <c r="G458" s="281"/>
      <c r="H458" s="283"/>
      <c r="I458" s="258"/>
      <c r="J458" s="258"/>
      <c r="K458" s="259"/>
      <c r="L458" s="289"/>
      <c r="M458" s="289"/>
      <c r="N458" s="259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</row>
    <row r="459" ht="21.0" customHeight="1">
      <c r="A459" s="147">
        <v>16.0</v>
      </c>
      <c r="B459" s="148" t="s">
        <v>32</v>
      </c>
      <c r="C459" s="281"/>
      <c r="D459" s="281"/>
      <c r="E459" s="283"/>
      <c r="F459" s="281"/>
      <c r="G459" s="281"/>
      <c r="H459" s="283"/>
      <c r="I459" s="258"/>
      <c r="J459" s="258"/>
      <c r="K459" s="259"/>
      <c r="L459" s="289"/>
      <c r="M459" s="289"/>
      <c r="N459" s="259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</row>
    <row r="460" ht="21.0" customHeight="1">
      <c r="A460" s="147">
        <v>17.0</v>
      </c>
      <c r="B460" s="148" t="s">
        <v>33</v>
      </c>
      <c r="C460" s="281"/>
      <c r="D460" s="281"/>
      <c r="E460" s="283"/>
      <c r="F460" s="281"/>
      <c r="G460" s="281"/>
      <c r="H460" s="283"/>
      <c r="I460" s="258"/>
      <c r="J460" s="258"/>
      <c r="K460" s="259"/>
      <c r="L460" s="289"/>
      <c r="M460" s="289"/>
      <c r="N460" s="259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</row>
    <row r="461" ht="21.0" customHeight="1">
      <c r="A461" s="147">
        <v>18.0</v>
      </c>
      <c r="B461" s="148" t="s">
        <v>34</v>
      </c>
      <c r="C461" s="281"/>
      <c r="D461" s="281"/>
      <c r="E461" s="283"/>
      <c r="F461" s="281"/>
      <c r="G461" s="281"/>
      <c r="H461" s="283"/>
      <c r="I461" s="258"/>
      <c r="J461" s="258"/>
      <c r="K461" s="259"/>
      <c r="L461" s="289"/>
      <c r="M461" s="289"/>
      <c r="N461" s="259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</row>
    <row r="462" ht="21.0" customHeight="1">
      <c r="A462" s="147">
        <v>19.0</v>
      </c>
      <c r="B462" s="148" t="s">
        <v>35</v>
      </c>
      <c r="C462" s="281"/>
      <c r="D462" s="281"/>
      <c r="E462" s="283"/>
      <c r="F462" s="281"/>
      <c r="G462" s="281"/>
      <c r="H462" s="283"/>
      <c r="I462" s="258"/>
      <c r="J462" s="258"/>
      <c r="K462" s="259"/>
      <c r="L462" s="289"/>
      <c r="M462" s="289"/>
      <c r="N462" s="259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</row>
    <row r="463" ht="21.0" customHeight="1">
      <c r="A463" s="317"/>
      <c r="B463" s="8"/>
      <c r="C463" s="338">
        <f t="shared" ref="C463:D463" si="114">SUM(C445)</f>
        <v>72300</v>
      </c>
      <c r="D463" s="339">
        <f t="shared" si="114"/>
        <v>72300</v>
      </c>
      <c r="E463" s="340"/>
      <c r="F463" s="285">
        <f t="shared" ref="F463:G463" si="115">SUM(F445)</f>
        <v>302700</v>
      </c>
      <c r="G463" s="285">
        <f t="shared" si="115"/>
        <v>302700</v>
      </c>
      <c r="H463" s="285"/>
      <c r="I463" s="285">
        <f t="shared" ref="I463:J463" si="116">SUM(I445)</f>
        <v>118600</v>
      </c>
      <c r="J463" s="285">
        <f t="shared" si="116"/>
        <v>118600</v>
      </c>
      <c r="K463" s="285"/>
      <c r="L463" s="285">
        <f>SUM(L445)</f>
        <v>2500</v>
      </c>
      <c r="M463" s="285">
        <f>M445</f>
        <v>2500</v>
      </c>
      <c r="N463" s="285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</row>
    <row r="464" ht="22.5" customHeight="1">
      <c r="A464" s="132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</row>
    <row r="465" ht="22.5" customHeight="1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</row>
    <row r="466" ht="22.5" customHeight="1">
      <c r="A466" s="131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</row>
    <row r="467" ht="22.5" customHeight="1"/>
    <row r="468" ht="21.0" customHeight="1">
      <c r="A468" s="131" t="s">
        <v>91</v>
      </c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</row>
    <row r="469" ht="21.0" customHeight="1">
      <c r="A469" s="131" t="s">
        <v>92</v>
      </c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</row>
    <row r="470" ht="21.0" customHeight="1">
      <c r="A470" s="133" t="s">
        <v>4</v>
      </c>
      <c r="B470" s="133" t="s">
        <v>5</v>
      </c>
      <c r="C470" s="341" t="s">
        <v>181</v>
      </c>
      <c r="F470" s="140" t="s">
        <v>182</v>
      </c>
      <c r="I470" s="140" t="s">
        <v>183</v>
      </c>
      <c r="L470" s="249" t="s">
        <v>184</v>
      </c>
      <c r="M470" s="7"/>
      <c r="N470" s="8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</row>
    <row r="471" ht="21.0" customHeight="1">
      <c r="A471" s="12"/>
      <c r="B471" s="12"/>
      <c r="L471" s="14"/>
      <c r="M471" s="15"/>
      <c r="N471" s="1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</row>
    <row r="472" ht="21.0" customHeight="1">
      <c r="A472" s="12"/>
      <c r="B472" s="12"/>
      <c r="C472" s="139" t="s">
        <v>12</v>
      </c>
      <c r="D472" s="7"/>
      <c r="E472" s="8"/>
      <c r="F472" s="140" t="s">
        <v>12</v>
      </c>
      <c r="H472" s="13"/>
      <c r="I472" s="140" t="s">
        <v>99</v>
      </c>
      <c r="K472" s="13"/>
      <c r="L472" s="342" t="s">
        <v>114</v>
      </c>
      <c r="M472" s="20"/>
      <c r="N472" s="21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</row>
    <row r="473" ht="21.0" customHeight="1">
      <c r="A473" s="22"/>
      <c r="B473" s="22"/>
      <c r="C473" s="144" t="s">
        <v>13</v>
      </c>
      <c r="D473" s="144" t="s">
        <v>14</v>
      </c>
      <c r="E473" s="144" t="s">
        <v>15</v>
      </c>
      <c r="F473" s="144" t="s">
        <v>13</v>
      </c>
      <c r="G473" s="144" t="s">
        <v>14</v>
      </c>
      <c r="H473" s="144" t="s">
        <v>15</v>
      </c>
      <c r="I473" s="144" t="s">
        <v>13</v>
      </c>
      <c r="J473" s="144" t="s">
        <v>14</v>
      </c>
      <c r="K473" s="144" t="s">
        <v>15</v>
      </c>
      <c r="L473" s="277" t="s">
        <v>13</v>
      </c>
      <c r="M473" s="277" t="s">
        <v>14</v>
      </c>
      <c r="N473" s="277" t="s">
        <v>15</v>
      </c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</row>
    <row r="474" ht="21.0" customHeight="1">
      <c r="A474" s="147">
        <v>1.0</v>
      </c>
      <c r="B474" s="148" t="s">
        <v>17</v>
      </c>
      <c r="C474" s="160">
        <v>10200.0</v>
      </c>
      <c r="D474" s="160">
        <f> 7200+3000</f>
        <v>10200</v>
      </c>
      <c r="E474" s="153">
        <f>C474-D474</f>
        <v>0</v>
      </c>
      <c r="F474" s="154">
        <v>4200.0</v>
      </c>
      <c r="G474" s="154">
        <v>4200.0</v>
      </c>
      <c r="H474" s="153">
        <f>F474-G474</f>
        <v>0</v>
      </c>
      <c r="I474" s="154">
        <v>199000.0</v>
      </c>
      <c r="J474" s="154">
        <f>174000+6000+3500+15500</f>
        <v>199000</v>
      </c>
      <c r="K474" s="153">
        <f>I474-J474</f>
        <v>0</v>
      </c>
      <c r="L474" s="254">
        <v>18400.0</v>
      </c>
      <c r="M474" s="254">
        <f>15580+2220+600</f>
        <v>18400</v>
      </c>
      <c r="N474" s="153">
        <f>L474-M474</f>
        <v>0</v>
      </c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</row>
    <row r="475" ht="21.0" customHeight="1">
      <c r="A475" s="147">
        <v>2.0</v>
      </c>
      <c r="B475" s="159" t="s">
        <v>18</v>
      </c>
      <c r="C475" s="149"/>
      <c r="D475" s="149"/>
      <c r="E475" s="149"/>
      <c r="F475" s="150"/>
      <c r="G475" s="150"/>
      <c r="H475" s="149"/>
      <c r="I475" s="150"/>
      <c r="J475" s="150"/>
      <c r="K475" s="149"/>
      <c r="L475" s="289"/>
      <c r="M475" s="289"/>
      <c r="N475" s="259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</row>
    <row r="476" ht="21.0" customHeight="1">
      <c r="A476" s="147">
        <v>3.0</v>
      </c>
      <c r="B476" s="148" t="s">
        <v>19</v>
      </c>
      <c r="C476" s="149"/>
      <c r="D476" s="149"/>
      <c r="E476" s="149"/>
      <c r="F476" s="150"/>
      <c r="G476" s="150"/>
      <c r="H476" s="149"/>
      <c r="I476" s="150"/>
      <c r="J476" s="150"/>
      <c r="K476" s="149"/>
      <c r="L476" s="289"/>
      <c r="M476" s="289"/>
      <c r="N476" s="259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</row>
    <row r="477" ht="21.0" customHeight="1">
      <c r="A477" s="147">
        <v>4.0</v>
      </c>
      <c r="B477" s="148" t="s">
        <v>20</v>
      </c>
      <c r="C477" s="149"/>
      <c r="D477" s="149"/>
      <c r="E477" s="149"/>
      <c r="F477" s="150"/>
      <c r="G477" s="150"/>
      <c r="H477" s="149"/>
      <c r="I477" s="150"/>
      <c r="J477" s="150"/>
      <c r="K477" s="149"/>
      <c r="L477" s="289"/>
      <c r="M477" s="289"/>
      <c r="N477" s="259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</row>
    <row r="478" ht="21.0" customHeight="1">
      <c r="A478" s="147">
        <v>5.0</v>
      </c>
      <c r="B478" s="148" t="s">
        <v>21</v>
      </c>
      <c r="C478" s="149"/>
      <c r="D478" s="149"/>
      <c r="E478" s="149"/>
      <c r="F478" s="150"/>
      <c r="G478" s="150"/>
      <c r="H478" s="149"/>
      <c r="I478" s="150"/>
      <c r="J478" s="150"/>
      <c r="K478" s="149"/>
      <c r="L478" s="289"/>
      <c r="M478" s="289"/>
      <c r="N478" s="259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</row>
    <row r="479" ht="21.0" customHeight="1">
      <c r="A479" s="147">
        <v>6.0</v>
      </c>
      <c r="B479" s="148" t="s">
        <v>22</v>
      </c>
      <c r="C479" s="149"/>
      <c r="D479" s="149"/>
      <c r="E479" s="149"/>
      <c r="F479" s="150"/>
      <c r="G479" s="150"/>
      <c r="H479" s="149"/>
      <c r="I479" s="150"/>
      <c r="J479" s="150"/>
      <c r="K479" s="149"/>
      <c r="L479" s="289"/>
      <c r="M479" s="289"/>
      <c r="N479" s="259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</row>
    <row r="480" ht="21.0" customHeight="1">
      <c r="A480" s="147">
        <v>7.0</v>
      </c>
      <c r="B480" s="148" t="s">
        <v>23</v>
      </c>
      <c r="C480" s="149"/>
      <c r="D480" s="149"/>
      <c r="E480" s="149"/>
      <c r="F480" s="150"/>
      <c r="G480" s="150"/>
      <c r="H480" s="149"/>
      <c r="I480" s="150"/>
      <c r="J480" s="150"/>
      <c r="K480" s="149"/>
      <c r="L480" s="289"/>
      <c r="M480" s="289"/>
      <c r="N480" s="259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</row>
    <row r="481" ht="21.0" customHeight="1">
      <c r="A481" s="147">
        <v>8.0</v>
      </c>
      <c r="B481" s="148" t="s">
        <v>24</v>
      </c>
      <c r="C481" s="149"/>
      <c r="D481" s="149"/>
      <c r="E481" s="149"/>
      <c r="F481" s="150"/>
      <c r="G481" s="150"/>
      <c r="H481" s="149"/>
      <c r="I481" s="150"/>
      <c r="J481" s="150"/>
      <c r="K481" s="149"/>
      <c r="L481" s="289"/>
      <c r="M481" s="289"/>
      <c r="N481" s="259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</row>
    <row r="482" ht="21.0" customHeight="1">
      <c r="A482" s="147">
        <v>9.0</v>
      </c>
      <c r="B482" s="148" t="s">
        <v>25</v>
      </c>
      <c r="C482" s="149"/>
      <c r="D482" s="149"/>
      <c r="E482" s="149"/>
      <c r="F482" s="150"/>
      <c r="G482" s="150"/>
      <c r="H482" s="149"/>
      <c r="I482" s="150"/>
      <c r="J482" s="150"/>
      <c r="K482" s="149"/>
      <c r="L482" s="289"/>
      <c r="M482" s="289"/>
      <c r="N482" s="259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</row>
    <row r="483" ht="21.0" customHeight="1">
      <c r="A483" s="147">
        <v>10.0</v>
      </c>
      <c r="B483" s="148" t="s">
        <v>26</v>
      </c>
      <c r="C483" s="149"/>
      <c r="D483" s="149"/>
      <c r="E483" s="149"/>
      <c r="F483" s="150"/>
      <c r="G483" s="150"/>
      <c r="H483" s="149"/>
      <c r="I483" s="150"/>
      <c r="J483" s="150"/>
      <c r="K483" s="149"/>
      <c r="L483" s="289"/>
      <c r="M483" s="289"/>
      <c r="N483" s="259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</row>
    <row r="484" ht="21.0" customHeight="1">
      <c r="A484" s="147">
        <v>11.0</v>
      </c>
      <c r="B484" s="148" t="s">
        <v>27</v>
      </c>
      <c r="C484" s="149"/>
      <c r="D484" s="149"/>
      <c r="E484" s="149"/>
      <c r="F484" s="150"/>
      <c r="G484" s="150"/>
      <c r="H484" s="149"/>
      <c r="I484" s="150"/>
      <c r="J484" s="150"/>
      <c r="K484" s="149"/>
      <c r="L484" s="289"/>
      <c r="M484" s="289"/>
      <c r="N484" s="259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</row>
    <row r="485" ht="21.0" customHeight="1">
      <c r="A485" s="147">
        <v>12.0</v>
      </c>
      <c r="B485" s="148" t="s">
        <v>28</v>
      </c>
      <c r="C485" s="149"/>
      <c r="D485" s="149"/>
      <c r="E485" s="149"/>
      <c r="F485" s="150"/>
      <c r="G485" s="150"/>
      <c r="H485" s="149"/>
      <c r="I485" s="150"/>
      <c r="J485" s="150"/>
      <c r="K485" s="149"/>
      <c r="L485" s="289"/>
      <c r="M485" s="289"/>
      <c r="N485" s="259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</row>
    <row r="486" ht="21.0" customHeight="1">
      <c r="A486" s="147">
        <v>13.0</v>
      </c>
      <c r="B486" s="148" t="s">
        <v>29</v>
      </c>
      <c r="C486" s="149"/>
      <c r="D486" s="149"/>
      <c r="E486" s="149"/>
      <c r="F486" s="150"/>
      <c r="G486" s="150"/>
      <c r="H486" s="149"/>
      <c r="I486" s="150"/>
      <c r="J486" s="150"/>
      <c r="K486" s="149"/>
      <c r="L486" s="289"/>
      <c r="M486" s="289"/>
      <c r="N486" s="259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</row>
    <row r="487" ht="21.0" customHeight="1">
      <c r="A487" s="147">
        <v>14.0</v>
      </c>
      <c r="B487" s="148" t="s">
        <v>30</v>
      </c>
      <c r="C487" s="149"/>
      <c r="D487" s="149"/>
      <c r="E487" s="149"/>
      <c r="F487" s="150"/>
      <c r="G487" s="150"/>
      <c r="H487" s="149"/>
      <c r="I487" s="150"/>
      <c r="J487" s="150"/>
      <c r="K487" s="149"/>
      <c r="L487" s="289"/>
      <c r="M487" s="289"/>
      <c r="N487" s="259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</row>
    <row r="488" ht="21.0" customHeight="1">
      <c r="A488" s="147">
        <v>15.0</v>
      </c>
      <c r="B488" s="148" t="s">
        <v>31</v>
      </c>
      <c r="C488" s="149"/>
      <c r="D488" s="149"/>
      <c r="E488" s="149"/>
      <c r="F488" s="150"/>
      <c r="G488" s="150"/>
      <c r="H488" s="149"/>
      <c r="I488" s="150"/>
      <c r="J488" s="150"/>
      <c r="K488" s="149"/>
      <c r="L488" s="289"/>
      <c r="M488" s="289"/>
      <c r="N488" s="259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</row>
    <row r="489" ht="21.0" customHeight="1">
      <c r="A489" s="147">
        <v>16.0</v>
      </c>
      <c r="B489" s="148" t="s">
        <v>32</v>
      </c>
      <c r="C489" s="149"/>
      <c r="D489" s="149"/>
      <c r="E489" s="149"/>
      <c r="F489" s="150"/>
      <c r="G489" s="150"/>
      <c r="H489" s="149"/>
      <c r="I489" s="150"/>
      <c r="J489" s="150"/>
      <c r="K489" s="149"/>
      <c r="L489" s="289"/>
      <c r="M489" s="289"/>
      <c r="N489" s="259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</row>
    <row r="490" ht="21.0" customHeight="1">
      <c r="A490" s="147">
        <v>17.0</v>
      </c>
      <c r="B490" s="148" t="s">
        <v>33</v>
      </c>
      <c r="C490" s="149"/>
      <c r="D490" s="149"/>
      <c r="E490" s="149"/>
      <c r="F490" s="150"/>
      <c r="G490" s="150"/>
      <c r="H490" s="149"/>
      <c r="I490" s="150"/>
      <c r="J490" s="150"/>
      <c r="K490" s="149"/>
      <c r="L490" s="289"/>
      <c r="M490" s="289"/>
      <c r="N490" s="259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</row>
    <row r="491" ht="18.75" customHeight="1">
      <c r="A491" s="147">
        <v>18.0</v>
      </c>
      <c r="B491" s="148" t="s">
        <v>34</v>
      </c>
      <c r="C491" s="149"/>
      <c r="D491" s="149"/>
      <c r="E491" s="149"/>
      <c r="F491" s="150"/>
      <c r="G491" s="150"/>
      <c r="H491" s="149"/>
      <c r="I491" s="150"/>
      <c r="J491" s="150"/>
      <c r="K491" s="149"/>
      <c r="L491" s="289"/>
      <c r="M491" s="289"/>
      <c r="N491" s="259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</row>
    <row r="492" ht="21.0" customHeight="1">
      <c r="A492" s="147">
        <v>19.0</v>
      </c>
      <c r="B492" s="148" t="s">
        <v>35</v>
      </c>
      <c r="C492" s="149"/>
      <c r="D492" s="149"/>
      <c r="E492" s="149"/>
      <c r="F492" s="150"/>
      <c r="G492" s="150"/>
      <c r="H492" s="149"/>
      <c r="I492" s="150"/>
      <c r="J492" s="150"/>
      <c r="K492" s="149"/>
      <c r="L492" s="289"/>
      <c r="M492" s="289"/>
      <c r="N492" s="259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</row>
    <row r="493" ht="21.0" customHeight="1">
      <c r="A493" s="171"/>
      <c r="B493" s="21"/>
      <c r="C493" s="172">
        <f t="shared" ref="C493:D493" si="117">SUM(C474)</f>
        <v>10200</v>
      </c>
      <c r="D493" s="172">
        <f t="shared" si="117"/>
        <v>10200</v>
      </c>
      <c r="E493" s="302">
        <f>SUM(F485)</f>
        <v>0</v>
      </c>
      <c r="F493" s="174">
        <f>SUM(F474)</f>
        <v>4200</v>
      </c>
      <c r="G493" s="218" t="s">
        <v>115</v>
      </c>
      <c r="H493" s="216">
        <f t="shared" ref="H493:I493" si="118">SUM(H474)</f>
        <v>0</v>
      </c>
      <c r="I493" s="174">
        <f t="shared" si="118"/>
        <v>199000</v>
      </c>
      <c r="J493" s="172">
        <f>SUM(C493:I493)</f>
        <v>223600</v>
      </c>
      <c r="K493" s="173"/>
      <c r="L493" s="174">
        <f>SUM(L474)</f>
        <v>18400</v>
      </c>
      <c r="M493" s="218">
        <v>5000.0</v>
      </c>
      <c r="N493" s="173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</row>
    <row r="494" ht="24.0" customHeight="1"/>
    <row r="495" ht="21.0" customHeight="1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</row>
    <row r="496" ht="21.0" customHeight="1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</row>
    <row r="497" ht="21.0" customHeight="1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</row>
    <row r="498" ht="21.0" customHeight="1">
      <c r="A498" s="131" t="s">
        <v>91</v>
      </c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</row>
    <row r="499" ht="21.0" customHeight="1">
      <c r="A499" s="131" t="s">
        <v>92</v>
      </c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</row>
    <row r="500" ht="20.25" customHeight="1">
      <c r="A500" s="133" t="s">
        <v>4</v>
      </c>
      <c r="B500" s="133" t="s">
        <v>5</v>
      </c>
      <c r="C500" s="343" t="s">
        <v>185</v>
      </c>
      <c r="D500" s="7"/>
      <c r="E500" s="8"/>
      <c r="F500" s="250" t="s">
        <v>186</v>
      </c>
      <c r="G500" s="7"/>
      <c r="H500" s="8"/>
      <c r="I500" s="141" t="s">
        <v>187</v>
      </c>
      <c r="L500" s="344" t="s">
        <v>188</v>
      </c>
    </row>
    <row r="501" ht="20.25" customHeight="1">
      <c r="A501" s="12"/>
      <c r="B501" s="12"/>
      <c r="C501" s="14"/>
      <c r="D501" s="15"/>
      <c r="E501" s="16"/>
      <c r="F501" s="14"/>
      <c r="G501" s="15"/>
      <c r="H501" s="16"/>
    </row>
    <row r="502" ht="20.25" customHeight="1">
      <c r="A502" s="12"/>
      <c r="B502" s="12"/>
      <c r="C502" s="342" t="s">
        <v>114</v>
      </c>
      <c r="D502" s="20"/>
      <c r="E502" s="21"/>
      <c r="F502" s="342" t="s">
        <v>114</v>
      </c>
      <c r="G502" s="20"/>
      <c r="H502" s="21"/>
      <c r="I502" s="345" t="s">
        <v>99</v>
      </c>
      <c r="K502" s="13"/>
      <c r="L502" s="346" t="s">
        <v>99</v>
      </c>
      <c r="N502" s="13"/>
    </row>
    <row r="503" ht="20.25" customHeight="1">
      <c r="A503" s="22"/>
      <c r="B503" s="22"/>
      <c r="C503" s="277" t="s">
        <v>13</v>
      </c>
      <c r="D503" s="277" t="s">
        <v>14</v>
      </c>
      <c r="E503" s="277" t="s">
        <v>15</v>
      </c>
      <c r="F503" s="335" t="s">
        <v>13</v>
      </c>
      <c r="G503" s="335" t="s">
        <v>14</v>
      </c>
      <c r="H503" s="335" t="s">
        <v>15</v>
      </c>
      <c r="I503" s="144"/>
      <c r="J503" s="144" t="s">
        <v>14</v>
      </c>
      <c r="K503" s="144" t="s">
        <v>15</v>
      </c>
      <c r="L503" s="144" t="s">
        <v>13</v>
      </c>
      <c r="M503" s="144" t="s">
        <v>14</v>
      </c>
      <c r="N503" s="144" t="s">
        <v>15</v>
      </c>
    </row>
    <row r="504" ht="20.25" customHeight="1">
      <c r="A504" s="147">
        <v>1.0</v>
      </c>
      <c r="B504" s="148" t="s">
        <v>17</v>
      </c>
      <c r="C504" s="254">
        <v>3100.0</v>
      </c>
      <c r="D504" s="254">
        <v>3100.0</v>
      </c>
      <c r="E504" s="153">
        <f>C504-D504</f>
        <v>0</v>
      </c>
      <c r="F504" s="254">
        <v>2700.0</v>
      </c>
      <c r="G504" s="254">
        <v>2700.0</v>
      </c>
      <c r="H504" s="153">
        <f>F504-G504</f>
        <v>0</v>
      </c>
      <c r="I504" s="151">
        <v>5000.0</v>
      </c>
      <c r="J504" s="151">
        <v>5000.0</v>
      </c>
      <c r="K504" s="153">
        <f>I504-J504</f>
        <v>0</v>
      </c>
      <c r="L504" s="151">
        <v>3600.0</v>
      </c>
      <c r="M504" s="151">
        <v>3600.0</v>
      </c>
      <c r="N504" s="153">
        <f>L504-M504</f>
        <v>0</v>
      </c>
    </row>
    <row r="505" ht="20.25" customHeight="1">
      <c r="A505" s="147">
        <v>2.0</v>
      </c>
      <c r="B505" s="159" t="s">
        <v>18</v>
      </c>
      <c r="C505" s="254"/>
      <c r="D505" s="289"/>
      <c r="E505" s="259"/>
      <c r="F505" s="258"/>
      <c r="G505" s="258"/>
      <c r="H505" s="259"/>
      <c r="I505" s="152"/>
      <c r="J505" s="152"/>
      <c r="K505" s="149"/>
      <c r="L505" s="152"/>
      <c r="M505" s="152"/>
      <c r="N505" s="149"/>
    </row>
    <row r="506" ht="20.25" customHeight="1">
      <c r="A506" s="147">
        <v>3.0</v>
      </c>
      <c r="B506" s="148" t="s">
        <v>19</v>
      </c>
      <c r="C506" s="289"/>
      <c r="D506" s="289"/>
      <c r="E506" s="259"/>
      <c r="F506" s="258"/>
      <c r="G506" s="258"/>
      <c r="H506" s="259"/>
      <c r="I506" s="152"/>
      <c r="J506" s="152"/>
      <c r="K506" s="149"/>
      <c r="L506" s="152"/>
      <c r="M506" s="152"/>
      <c r="N506" s="149"/>
    </row>
    <row r="507" ht="20.25" customHeight="1">
      <c r="A507" s="147">
        <v>4.0</v>
      </c>
      <c r="B507" s="148" t="s">
        <v>20</v>
      </c>
      <c r="C507" s="289"/>
      <c r="D507" s="289"/>
      <c r="E507" s="259"/>
      <c r="F507" s="258"/>
      <c r="G507" s="258"/>
      <c r="H507" s="259"/>
      <c r="I507" s="152"/>
      <c r="J507" s="152"/>
      <c r="K507" s="149"/>
      <c r="L507" s="152"/>
      <c r="M507" s="152"/>
      <c r="N507" s="149"/>
    </row>
    <row r="508" ht="20.25" customHeight="1">
      <c r="A508" s="147">
        <v>5.0</v>
      </c>
      <c r="B508" s="148" t="s">
        <v>21</v>
      </c>
      <c r="C508" s="289"/>
      <c r="D508" s="289"/>
      <c r="E508" s="259"/>
      <c r="F508" s="258"/>
      <c r="G508" s="258"/>
      <c r="H508" s="259"/>
      <c r="I508" s="152"/>
      <c r="J508" s="152"/>
      <c r="K508" s="149"/>
      <c r="L508" s="152"/>
      <c r="M508" s="152"/>
      <c r="N508" s="149"/>
    </row>
    <row r="509" ht="20.25" customHeight="1">
      <c r="A509" s="147">
        <v>6.0</v>
      </c>
      <c r="B509" s="148" t="s">
        <v>22</v>
      </c>
      <c r="C509" s="289"/>
      <c r="D509" s="289"/>
      <c r="E509" s="259"/>
      <c r="F509" s="258"/>
      <c r="G509" s="258"/>
      <c r="H509" s="259"/>
      <c r="I509" s="152"/>
      <c r="J509" s="152"/>
      <c r="K509" s="149"/>
      <c r="L509" s="152"/>
      <c r="M509" s="152"/>
      <c r="N509" s="149"/>
    </row>
    <row r="510" ht="20.25" customHeight="1">
      <c r="A510" s="147">
        <v>7.0</v>
      </c>
      <c r="B510" s="148" t="s">
        <v>23</v>
      </c>
      <c r="C510" s="289"/>
      <c r="D510" s="289"/>
      <c r="E510" s="259"/>
      <c r="F510" s="258"/>
      <c r="G510" s="258"/>
      <c r="H510" s="259"/>
      <c r="I510" s="152"/>
      <c r="J510" s="152"/>
      <c r="K510" s="149"/>
      <c r="L510" s="152"/>
      <c r="M510" s="152"/>
      <c r="N510" s="149"/>
    </row>
    <row r="511" ht="20.25" customHeight="1">
      <c r="A511" s="147">
        <v>8.0</v>
      </c>
      <c r="B511" s="148" t="s">
        <v>24</v>
      </c>
      <c r="C511" s="289"/>
      <c r="D511" s="289"/>
      <c r="E511" s="259"/>
      <c r="F511" s="258"/>
      <c r="G511" s="258"/>
      <c r="H511" s="259"/>
      <c r="I511" s="152"/>
      <c r="J511" s="152"/>
      <c r="K511" s="149"/>
      <c r="L511" s="152"/>
      <c r="M511" s="152"/>
      <c r="N511" s="149"/>
    </row>
    <row r="512" ht="20.25" customHeight="1">
      <c r="A512" s="147">
        <v>9.0</v>
      </c>
      <c r="B512" s="148" t="s">
        <v>25</v>
      </c>
      <c r="C512" s="289"/>
      <c r="D512" s="289"/>
      <c r="E512" s="259"/>
      <c r="F512" s="258"/>
      <c r="G512" s="258"/>
      <c r="H512" s="259"/>
      <c r="I512" s="152"/>
      <c r="J512" s="152"/>
      <c r="K512" s="149"/>
      <c r="L512" s="152"/>
      <c r="M512" s="152"/>
      <c r="N512" s="149"/>
    </row>
    <row r="513" ht="20.25" customHeight="1">
      <c r="A513" s="147">
        <v>10.0</v>
      </c>
      <c r="B513" s="148" t="s">
        <v>26</v>
      </c>
      <c r="C513" s="289"/>
      <c r="D513" s="289"/>
      <c r="E513" s="259"/>
      <c r="F513" s="258"/>
      <c r="G513" s="258"/>
      <c r="H513" s="259"/>
      <c r="I513" s="152"/>
      <c r="J513" s="152"/>
      <c r="K513" s="149"/>
      <c r="L513" s="152"/>
      <c r="M513" s="152"/>
      <c r="N513" s="149"/>
    </row>
    <row r="514" ht="20.25" customHeight="1">
      <c r="A514" s="147">
        <v>11.0</v>
      </c>
      <c r="B514" s="148" t="s">
        <v>27</v>
      </c>
      <c r="C514" s="289"/>
      <c r="D514" s="289"/>
      <c r="E514" s="259"/>
      <c r="F514" s="258"/>
      <c r="G514" s="258"/>
      <c r="H514" s="259"/>
      <c r="I514" s="152"/>
      <c r="J514" s="152"/>
      <c r="K514" s="149"/>
      <c r="L514" s="152"/>
      <c r="M514" s="152"/>
      <c r="N514" s="149"/>
    </row>
    <row r="515" ht="20.25" customHeight="1">
      <c r="A515" s="147">
        <v>12.0</v>
      </c>
      <c r="B515" s="148" t="s">
        <v>28</v>
      </c>
      <c r="C515" s="289"/>
      <c r="D515" s="289"/>
      <c r="E515" s="259"/>
      <c r="F515" s="258"/>
      <c r="G515" s="258"/>
      <c r="H515" s="259"/>
      <c r="I515" s="152"/>
      <c r="J515" s="152"/>
      <c r="K515" s="149"/>
      <c r="L515" s="152"/>
      <c r="M515" s="152"/>
      <c r="N515" s="149"/>
    </row>
    <row r="516" ht="20.25" customHeight="1">
      <c r="A516" s="147">
        <v>13.0</v>
      </c>
      <c r="B516" s="148" t="s">
        <v>29</v>
      </c>
      <c r="C516" s="289"/>
      <c r="D516" s="289"/>
      <c r="E516" s="259"/>
      <c r="F516" s="258"/>
      <c r="G516" s="258"/>
      <c r="H516" s="259"/>
      <c r="I516" s="152"/>
      <c r="J516" s="152"/>
      <c r="K516" s="149"/>
      <c r="L516" s="152"/>
      <c r="M516" s="152"/>
      <c r="N516" s="149"/>
    </row>
    <row r="517" ht="20.25" customHeight="1">
      <c r="A517" s="147">
        <v>14.0</v>
      </c>
      <c r="B517" s="148" t="s">
        <v>30</v>
      </c>
      <c r="C517" s="289"/>
      <c r="D517" s="289"/>
      <c r="E517" s="259"/>
      <c r="F517" s="258"/>
      <c r="G517" s="258"/>
      <c r="H517" s="259"/>
      <c r="I517" s="152"/>
      <c r="J517" s="152"/>
      <c r="K517" s="149"/>
      <c r="L517" s="152"/>
      <c r="M517" s="152"/>
      <c r="N517" s="149"/>
    </row>
    <row r="518" ht="20.25" customHeight="1">
      <c r="A518" s="147">
        <v>15.0</v>
      </c>
      <c r="B518" s="148" t="s">
        <v>31</v>
      </c>
      <c r="C518" s="289"/>
      <c r="D518" s="289"/>
      <c r="E518" s="259"/>
      <c r="F518" s="258"/>
      <c r="G518" s="258"/>
      <c r="H518" s="259"/>
      <c r="I518" s="152"/>
      <c r="J518" s="152"/>
      <c r="K518" s="149"/>
      <c r="L518" s="152"/>
      <c r="M518" s="152"/>
      <c r="N518" s="149"/>
    </row>
    <row r="519" ht="20.25" customHeight="1">
      <c r="A519" s="147">
        <v>16.0</v>
      </c>
      <c r="B519" s="148" t="s">
        <v>32</v>
      </c>
      <c r="C519" s="289"/>
      <c r="D519" s="289"/>
      <c r="E519" s="259"/>
      <c r="F519" s="258"/>
      <c r="G519" s="258"/>
      <c r="H519" s="259"/>
      <c r="I519" s="152"/>
      <c r="J519" s="152"/>
      <c r="K519" s="149"/>
      <c r="L519" s="152"/>
      <c r="M519" s="152"/>
      <c r="N519" s="149"/>
    </row>
    <row r="520" ht="20.25" customHeight="1">
      <c r="A520" s="147">
        <v>17.0</v>
      </c>
      <c r="B520" s="148" t="s">
        <v>33</v>
      </c>
      <c r="C520" s="289"/>
      <c r="D520" s="289"/>
      <c r="E520" s="259"/>
      <c r="F520" s="258"/>
      <c r="G520" s="258"/>
      <c r="H520" s="259"/>
      <c r="I520" s="152"/>
      <c r="J520" s="152"/>
      <c r="K520" s="149"/>
      <c r="L520" s="152"/>
      <c r="M520" s="152"/>
      <c r="N520" s="149"/>
    </row>
    <row r="521" ht="20.25" customHeight="1">
      <c r="A521" s="147">
        <v>18.0</v>
      </c>
      <c r="B521" s="148" t="s">
        <v>34</v>
      </c>
      <c r="C521" s="289"/>
      <c r="D521" s="289"/>
      <c r="E521" s="259"/>
      <c r="F521" s="258"/>
      <c r="G521" s="258"/>
      <c r="H521" s="259"/>
      <c r="I521" s="152"/>
      <c r="J521" s="152"/>
      <c r="K521" s="149"/>
      <c r="L521" s="152"/>
      <c r="M521" s="152"/>
      <c r="N521" s="149"/>
    </row>
    <row r="522" ht="20.25" customHeight="1">
      <c r="A522" s="147">
        <v>19.0</v>
      </c>
      <c r="B522" s="148" t="s">
        <v>35</v>
      </c>
      <c r="C522" s="289"/>
      <c r="D522" s="289"/>
      <c r="E522" s="259"/>
      <c r="F522" s="258"/>
      <c r="G522" s="258"/>
      <c r="H522" s="259"/>
      <c r="I522" s="152"/>
      <c r="J522" s="152"/>
      <c r="K522" s="149"/>
      <c r="L522" s="152"/>
      <c r="M522" s="152"/>
      <c r="N522" s="149"/>
    </row>
    <row r="523" ht="20.25" customHeight="1">
      <c r="A523" s="171"/>
      <c r="B523" s="21"/>
      <c r="C523" s="172">
        <f t="shared" ref="C523:D523" si="119">SUM(C504)</f>
        <v>3100</v>
      </c>
      <c r="D523" s="172">
        <f t="shared" si="119"/>
        <v>3100</v>
      </c>
      <c r="E523" s="302">
        <f>SUM(I485)</f>
        <v>0</v>
      </c>
      <c r="F523" s="174">
        <f t="shared" ref="F523:G523" si="120">SUM(F504)</f>
        <v>2700</v>
      </c>
      <c r="G523" s="172">
        <f t="shared" si="120"/>
        <v>2700</v>
      </c>
      <c r="H523" s="173"/>
      <c r="I523" s="172">
        <f t="shared" ref="I523:J523" si="121">SUM(I504)</f>
        <v>5000</v>
      </c>
      <c r="J523" s="172">
        <f t="shared" si="121"/>
        <v>5000</v>
      </c>
      <c r="K523" s="174"/>
      <c r="L523" s="174">
        <f t="shared" ref="L523:M523" si="122">SUM(L504)</f>
        <v>3600</v>
      </c>
      <c r="M523" s="172">
        <f t="shared" si="122"/>
        <v>3600</v>
      </c>
      <c r="N523" s="173"/>
    </row>
    <row r="524" ht="20.25" customHeight="1"/>
    <row r="525" ht="20.25" customHeight="1"/>
    <row r="526" ht="20.25" customHeight="1"/>
    <row r="527" ht="20.25" customHeight="1"/>
    <row r="528" ht="21.0" customHeight="1">
      <c r="A528" s="131" t="s">
        <v>91</v>
      </c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</row>
    <row r="529" ht="14.25" customHeight="1">
      <c r="A529" s="131" t="s">
        <v>92</v>
      </c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</row>
    <row r="530">
      <c r="A530" s="133" t="s">
        <v>4</v>
      </c>
      <c r="B530" s="133" t="s">
        <v>5</v>
      </c>
      <c r="C530" s="249" t="s">
        <v>189</v>
      </c>
      <c r="D530" s="7"/>
      <c r="E530" s="8"/>
      <c r="F530" s="343" t="s">
        <v>190</v>
      </c>
      <c r="G530" s="7"/>
      <c r="H530" s="8"/>
      <c r="I530" s="250" t="s">
        <v>191</v>
      </c>
      <c r="J530" s="7"/>
      <c r="K530" s="8"/>
      <c r="L530" s="347" t="s">
        <v>192</v>
      </c>
      <c r="M530" s="7"/>
      <c r="N530" s="8"/>
    </row>
    <row r="531" ht="22.5" customHeight="1">
      <c r="A531" s="12"/>
      <c r="B531" s="12"/>
      <c r="C531" s="14"/>
      <c r="D531" s="15"/>
      <c r="E531" s="16"/>
      <c r="F531" s="14"/>
      <c r="G531" s="15"/>
      <c r="H531" s="16"/>
      <c r="I531" s="14"/>
      <c r="J531" s="15"/>
      <c r="K531" s="16"/>
      <c r="L531" s="14"/>
      <c r="M531" s="15"/>
      <c r="N531" s="16"/>
    </row>
    <row r="532" ht="18.75" customHeight="1">
      <c r="A532" s="12"/>
      <c r="B532" s="12"/>
      <c r="C532" s="342" t="s">
        <v>17</v>
      </c>
      <c r="D532" s="20"/>
      <c r="E532" s="21"/>
      <c r="F532" s="342" t="s">
        <v>17</v>
      </c>
      <c r="G532" s="20"/>
      <c r="H532" s="21"/>
      <c r="I532" s="342" t="s">
        <v>17</v>
      </c>
      <c r="J532" s="20"/>
      <c r="K532" s="21"/>
      <c r="L532" s="342" t="s">
        <v>17</v>
      </c>
      <c r="M532" s="20"/>
      <c r="N532" s="21"/>
    </row>
    <row r="533" ht="18.75" customHeight="1">
      <c r="A533" s="22"/>
      <c r="B533" s="22"/>
      <c r="C533" s="277" t="s">
        <v>13</v>
      </c>
      <c r="D533" s="277" t="s">
        <v>14</v>
      </c>
      <c r="E533" s="277" t="s">
        <v>15</v>
      </c>
      <c r="F533" s="277" t="s">
        <v>13</v>
      </c>
      <c r="G533" s="277" t="s">
        <v>14</v>
      </c>
      <c r="H533" s="277" t="s">
        <v>15</v>
      </c>
      <c r="I533" s="335" t="s">
        <v>13</v>
      </c>
      <c r="J533" s="335" t="s">
        <v>14</v>
      </c>
      <c r="K533" s="335" t="s">
        <v>15</v>
      </c>
      <c r="L533" s="335" t="s">
        <v>13</v>
      </c>
      <c r="M533" s="335" t="s">
        <v>14</v>
      </c>
      <c r="N533" s="335" t="s">
        <v>15</v>
      </c>
    </row>
    <row r="534" ht="18.75" customHeight="1">
      <c r="A534" s="147">
        <v>1.0</v>
      </c>
      <c r="B534" s="148" t="s">
        <v>17</v>
      </c>
      <c r="C534" s="254">
        <v>26640.0</v>
      </c>
      <c r="D534" s="254">
        <v>26640.0</v>
      </c>
      <c r="E534" s="207">
        <f>C534-D534</f>
        <v>0</v>
      </c>
      <c r="F534" s="254">
        <v>5800.0</v>
      </c>
      <c r="G534" s="254">
        <v>5800.0</v>
      </c>
      <c r="H534" s="207">
        <f>F534-G534</f>
        <v>0</v>
      </c>
      <c r="I534" s="254">
        <v>2700.0</v>
      </c>
      <c r="J534" s="254">
        <v>2700.0</v>
      </c>
      <c r="K534" s="153">
        <f>I534-J534</f>
        <v>0</v>
      </c>
      <c r="L534" s="254">
        <v>2500.0</v>
      </c>
      <c r="M534" s="254">
        <v>2500.0</v>
      </c>
      <c r="N534" s="207">
        <f>L534-M534</f>
        <v>0</v>
      </c>
    </row>
    <row r="535" ht="18.75" customHeight="1">
      <c r="A535" s="147">
        <v>2.0</v>
      </c>
      <c r="B535" s="159" t="s">
        <v>18</v>
      </c>
      <c r="C535" s="289"/>
      <c r="D535" s="289"/>
      <c r="E535" s="259"/>
      <c r="F535" s="254"/>
      <c r="G535" s="289"/>
      <c r="H535" s="259"/>
      <c r="I535" s="258"/>
      <c r="J535" s="258"/>
      <c r="K535" s="259"/>
      <c r="L535" s="289"/>
      <c r="M535" s="289"/>
      <c r="N535" s="259"/>
    </row>
    <row r="536" ht="18.75" customHeight="1">
      <c r="A536" s="147">
        <v>3.0</v>
      </c>
      <c r="B536" s="148" t="s">
        <v>19</v>
      </c>
      <c r="C536" s="289"/>
      <c r="D536" s="289"/>
      <c r="E536" s="259"/>
      <c r="F536" s="289"/>
      <c r="G536" s="289"/>
      <c r="H536" s="259"/>
      <c r="I536" s="258"/>
      <c r="J536" s="258"/>
      <c r="K536" s="259"/>
      <c r="L536" s="289"/>
      <c r="M536" s="289"/>
      <c r="N536" s="259"/>
    </row>
    <row r="537" ht="18.75" customHeight="1">
      <c r="A537" s="147">
        <v>4.0</v>
      </c>
      <c r="B537" s="148" t="s">
        <v>20</v>
      </c>
      <c r="C537" s="289"/>
      <c r="D537" s="289"/>
      <c r="E537" s="259"/>
      <c r="F537" s="289"/>
      <c r="G537" s="289"/>
      <c r="H537" s="259"/>
      <c r="I537" s="258"/>
      <c r="J537" s="258"/>
      <c r="K537" s="259"/>
      <c r="L537" s="289"/>
      <c r="M537" s="289"/>
      <c r="N537" s="259"/>
    </row>
    <row r="538" ht="18.75" customHeight="1">
      <c r="A538" s="147">
        <v>5.0</v>
      </c>
      <c r="B538" s="148" t="s">
        <v>21</v>
      </c>
      <c r="C538" s="289"/>
      <c r="D538" s="289"/>
      <c r="E538" s="259"/>
      <c r="F538" s="289"/>
      <c r="G538" s="289"/>
      <c r="H538" s="259"/>
      <c r="I538" s="258"/>
      <c r="J538" s="258"/>
      <c r="K538" s="259"/>
      <c r="L538" s="289"/>
      <c r="M538" s="289"/>
      <c r="N538" s="259"/>
    </row>
    <row r="539" ht="18.75" customHeight="1">
      <c r="A539" s="147">
        <v>6.0</v>
      </c>
      <c r="B539" s="148" t="s">
        <v>22</v>
      </c>
      <c r="C539" s="289"/>
      <c r="D539" s="289"/>
      <c r="E539" s="259"/>
      <c r="F539" s="289"/>
      <c r="G539" s="289"/>
      <c r="H539" s="259"/>
      <c r="I539" s="258"/>
      <c r="J539" s="258"/>
      <c r="K539" s="259"/>
      <c r="L539" s="289"/>
      <c r="M539" s="289"/>
      <c r="N539" s="259"/>
    </row>
    <row r="540" ht="18.75" customHeight="1">
      <c r="A540" s="147">
        <v>7.0</v>
      </c>
      <c r="B540" s="148" t="s">
        <v>23</v>
      </c>
      <c r="C540" s="289"/>
      <c r="D540" s="289"/>
      <c r="E540" s="259"/>
      <c r="F540" s="289"/>
      <c r="G540" s="289"/>
      <c r="H540" s="259"/>
      <c r="I540" s="258"/>
      <c r="J540" s="258"/>
      <c r="K540" s="259"/>
      <c r="L540" s="289"/>
      <c r="M540" s="289"/>
      <c r="N540" s="259"/>
    </row>
    <row r="541" ht="18.75" customHeight="1">
      <c r="A541" s="147">
        <v>8.0</v>
      </c>
      <c r="B541" s="148" t="s">
        <v>24</v>
      </c>
      <c r="C541" s="289"/>
      <c r="D541" s="289"/>
      <c r="E541" s="259"/>
      <c r="F541" s="289"/>
      <c r="G541" s="289"/>
      <c r="H541" s="259"/>
      <c r="I541" s="258"/>
      <c r="J541" s="258"/>
      <c r="K541" s="259"/>
      <c r="L541" s="289"/>
      <c r="M541" s="289"/>
      <c r="N541" s="259"/>
    </row>
    <row r="542" ht="18.75" customHeight="1">
      <c r="A542" s="147">
        <v>9.0</v>
      </c>
      <c r="B542" s="148" t="s">
        <v>25</v>
      </c>
      <c r="C542" s="289"/>
      <c r="D542" s="289"/>
      <c r="E542" s="259"/>
      <c r="F542" s="289"/>
      <c r="G542" s="289"/>
      <c r="H542" s="259"/>
      <c r="I542" s="258"/>
      <c r="J542" s="258"/>
      <c r="K542" s="259"/>
      <c r="L542" s="289"/>
      <c r="M542" s="289"/>
      <c r="N542" s="259"/>
    </row>
    <row r="543" ht="18.75" customHeight="1">
      <c r="A543" s="147">
        <v>10.0</v>
      </c>
      <c r="B543" s="148" t="s">
        <v>26</v>
      </c>
      <c r="C543" s="289"/>
      <c r="D543" s="289"/>
      <c r="E543" s="259"/>
      <c r="F543" s="289"/>
      <c r="G543" s="289"/>
      <c r="H543" s="259"/>
      <c r="I543" s="258"/>
      <c r="J543" s="258"/>
      <c r="K543" s="259"/>
      <c r="L543" s="289"/>
      <c r="M543" s="289"/>
      <c r="N543" s="259"/>
    </row>
    <row r="544" ht="18.75" customHeight="1">
      <c r="A544" s="147">
        <v>11.0</v>
      </c>
      <c r="B544" s="148" t="s">
        <v>27</v>
      </c>
      <c r="C544" s="289"/>
      <c r="D544" s="289"/>
      <c r="E544" s="259"/>
      <c r="F544" s="289"/>
      <c r="G544" s="289"/>
      <c r="H544" s="259"/>
      <c r="I544" s="258"/>
      <c r="J544" s="258"/>
      <c r="K544" s="259"/>
      <c r="L544" s="289"/>
      <c r="M544" s="289"/>
      <c r="N544" s="259"/>
    </row>
    <row r="545" ht="18.75" customHeight="1">
      <c r="A545" s="147">
        <v>12.0</v>
      </c>
      <c r="B545" s="148" t="s">
        <v>28</v>
      </c>
      <c r="C545" s="289"/>
      <c r="D545" s="289"/>
      <c r="E545" s="259"/>
      <c r="F545" s="289"/>
      <c r="G545" s="289"/>
      <c r="H545" s="259"/>
      <c r="I545" s="258"/>
      <c r="J545" s="258"/>
      <c r="K545" s="259"/>
      <c r="L545" s="289"/>
      <c r="M545" s="289"/>
      <c r="N545" s="259"/>
    </row>
    <row r="546" ht="18.75" customHeight="1">
      <c r="A546" s="147">
        <v>13.0</v>
      </c>
      <c r="B546" s="148" t="s">
        <v>29</v>
      </c>
      <c r="C546" s="289"/>
      <c r="D546" s="289"/>
      <c r="E546" s="259"/>
      <c r="F546" s="289"/>
      <c r="G546" s="289"/>
      <c r="H546" s="259"/>
      <c r="I546" s="258"/>
      <c r="J546" s="258"/>
      <c r="K546" s="259"/>
      <c r="L546" s="289"/>
      <c r="M546" s="289"/>
      <c r="N546" s="259"/>
    </row>
    <row r="547" ht="18.75" customHeight="1">
      <c r="A547" s="147">
        <v>14.0</v>
      </c>
      <c r="B547" s="148" t="s">
        <v>30</v>
      </c>
      <c r="C547" s="289"/>
      <c r="D547" s="289"/>
      <c r="E547" s="259"/>
      <c r="F547" s="289"/>
      <c r="G547" s="289"/>
      <c r="H547" s="259"/>
      <c r="I547" s="258"/>
      <c r="J547" s="258"/>
      <c r="K547" s="259"/>
      <c r="L547" s="289"/>
      <c r="M547" s="289"/>
      <c r="N547" s="259"/>
    </row>
    <row r="548" ht="18.75" customHeight="1">
      <c r="A548" s="147">
        <v>15.0</v>
      </c>
      <c r="B548" s="148" t="s">
        <v>31</v>
      </c>
      <c r="C548" s="289"/>
      <c r="D548" s="289"/>
      <c r="E548" s="259"/>
      <c r="F548" s="289"/>
      <c r="G548" s="289"/>
      <c r="H548" s="259"/>
      <c r="I548" s="258"/>
      <c r="J548" s="258"/>
      <c r="K548" s="259"/>
      <c r="L548" s="289"/>
      <c r="M548" s="289"/>
      <c r="N548" s="259"/>
    </row>
    <row r="549" ht="18.75" customHeight="1">
      <c r="A549" s="147">
        <v>16.0</v>
      </c>
      <c r="B549" s="148" t="s">
        <v>32</v>
      </c>
      <c r="C549" s="289"/>
      <c r="D549" s="289"/>
      <c r="E549" s="259"/>
      <c r="F549" s="289"/>
      <c r="G549" s="289"/>
      <c r="H549" s="259"/>
      <c r="I549" s="258"/>
      <c r="J549" s="258"/>
      <c r="K549" s="259"/>
      <c r="L549" s="289"/>
      <c r="M549" s="289"/>
      <c r="N549" s="259"/>
    </row>
    <row r="550" ht="18.75" customHeight="1">
      <c r="A550" s="147">
        <v>17.0</v>
      </c>
      <c r="B550" s="148" t="s">
        <v>33</v>
      </c>
      <c r="C550" s="289"/>
      <c r="D550" s="289"/>
      <c r="E550" s="259"/>
      <c r="F550" s="289"/>
      <c r="G550" s="289"/>
      <c r="H550" s="259"/>
      <c r="I550" s="258"/>
      <c r="J550" s="258"/>
      <c r="K550" s="259"/>
      <c r="L550" s="289"/>
      <c r="M550" s="289"/>
      <c r="N550" s="259"/>
    </row>
    <row r="551" ht="18.75" customHeight="1">
      <c r="A551" s="147">
        <v>18.0</v>
      </c>
      <c r="B551" s="148" t="s">
        <v>34</v>
      </c>
      <c r="C551" s="289"/>
      <c r="D551" s="289"/>
      <c r="E551" s="259"/>
      <c r="F551" s="289"/>
      <c r="G551" s="289"/>
      <c r="H551" s="259"/>
      <c r="I551" s="258"/>
      <c r="J551" s="258"/>
      <c r="K551" s="259"/>
      <c r="L551" s="289"/>
      <c r="M551" s="289"/>
      <c r="N551" s="259"/>
    </row>
    <row r="552" ht="18.75" customHeight="1">
      <c r="A552" s="147">
        <v>19.0</v>
      </c>
      <c r="B552" s="148" t="s">
        <v>35</v>
      </c>
      <c r="C552" s="289"/>
      <c r="D552" s="289"/>
      <c r="E552" s="259"/>
      <c r="F552" s="289"/>
      <c r="G552" s="289"/>
      <c r="H552" s="259"/>
      <c r="I552" s="258"/>
      <c r="J552" s="258"/>
      <c r="K552" s="259"/>
      <c r="L552" s="289"/>
      <c r="M552" s="289"/>
      <c r="N552" s="259"/>
    </row>
    <row r="553" ht="21.0" customHeight="1">
      <c r="A553" s="171"/>
      <c r="B553" s="21"/>
      <c r="C553" s="174">
        <f t="shared" ref="C553:D553" si="123">SUM(C534)</f>
        <v>26640</v>
      </c>
      <c r="D553" s="192">
        <f t="shared" si="123"/>
        <v>26640</v>
      </c>
      <c r="E553" s="173"/>
      <c r="F553" s="174">
        <f t="shared" ref="F553:G553" si="124">SUM(F534)</f>
        <v>5800</v>
      </c>
      <c r="G553" s="192">
        <f t="shared" si="124"/>
        <v>5800</v>
      </c>
      <c r="H553" s="173"/>
      <c r="I553" s="174">
        <f t="shared" ref="I553:J553" si="125">SUM(I534)</f>
        <v>2700</v>
      </c>
      <c r="J553" s="174">
        <f t="shared" si="125"/>
        <v>2700</v>
      </c>
      <c r="K553" s="285"/>
      <c r="L553" s="174">
        <f t="shared" ref="L553:M553" si="126">SUM(L534)</f>
        <v>2500</v>
      </c>
      <c r="M553" s="192">
        <f t="shared" si="126"/>
        <v>2500</v>
      </c>
      <c r="N553" s="173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</row>
    <row r="555" ht="21.0" customHeight="1">
      <c r="A555" s="193"/>
      <c r="B555" s="193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</row>
    <row r="582" ht="21.0" customHeight="1">
      <c r="A582" s="132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</row>
    <row r="583" ht="21.0" customHeight="1">
      <c r="A583" s="132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</row>
    <row r="584" ht="21.0" customHeight="1">
      <c r="A584" s="348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</row>
    <row r="585" ht="21.0" customHeight="1">
      <c r="A585" s="348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</row>
    <row r="586" ht="21.0" customHeight="1">
      <c r="A586" s="133"/>
      <c r="B586" s="133"/>
      <c r="C586" s="349"/>
      <c r="D586" s="7"/>
      <c r="E586" s="8"/>
      <c r="F586" s="350"/>
      <c r="G586" s="7"/>
      <c r="H586" s="8"/>
      <c r="I586" s="351"/>
      <c r="J586" s="7"/>
      <c r="K586" s="8"/>
      <c r="L586" s="349"/>
      <c r="M586" s="7"/>
      <c r="N586" s="8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</row>
    <row r="587" ht="21.0" customHeight="1">
      <c r="A587" s="12"/>
      <c r="B587" s="12"/>
      <c r="C587" s="14"/>
      <c r="D587" s="15"/>
      <c r="E587" s="16"/>
      <c r="F587" s="14"/>
      <c r="G587" s="15"/>
      <c r="H587" s="16"/>
      <c r="I587" s="14"/>
      <c r="J587" s="15"/>
      <c r="K587" s="16"/>
      <c r="L587" s="14"/>
      <c r="M587" s="15"/>
      <c r="N587" s="16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</row>
    <row r="588" ht="21.0" customHeight="1">
      <c r="A588" s="12"/>
      <c r="B588" s="12"/>
      <c r="C588" s="352"/>
      <c r="D588" s="20"/>
      <c r="E588" s="21"/>
      <c r="F588" s="353"/>
      <c r="G588" s="20"/>
      <c r="H588" s="21"/>
      <c r="I588" s="354"/>
      <c r="J588" s="20"/>
      <c r="K588" s="21"/>
      <c r="L588" s="352"/>
      <c r="M588" s="20"/>
      <c r="N588" s="21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</row>
    <row r="589" ht="21.0" customHeight="1">
      <c r="A589" s="22"/>
      <c r="B589" s="22"/>
      <c r="C589" s="144"/>
      <c r="D589" s="144"/>
      <c r="E589" s="144"/>
      <c r="F589" s="355"/>
      <c r="G589" s="355"/>
      <c r="H589" s="355"/>
      <c r="I589" s="356"/>
      <c r="J589" s="356"/>
      <c r="K589" s="356"/>
      <c r="L589" s="144"/>
      <c r="M589" s="144"/>
      <c r="N589" s="14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</row>
    <row r="590" ht="21.0" customHeight="1">
      <c r="A590" s="147"/>
      <c r="B590" s="148"/>
      <c r="C590" s="289"/>
      <c r="D590" s="289"/>
      <c r="E590" s="247"/>
      <c r="F590" s="289"/>
      <c r="G590" s="289"/>
      <c r="H590" s="357"/>
      <c r="I590" s="289"/>
      <c r="J590" s="289"/>
      <c r="K590" s="199"/>
      <c r="L590" s="289"/>
      <c r="M590" s="289"/>
      <c r="N590" s="357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</row>
    <row r="591" ht="21.0" customHeight="1">
      <c r="A591" s="147"/>
      <c r="B591" s="159"/>
      <c r="C591" s="289"/>
      <c r="D591" s="289"/>
      <c r="E591" s="259"/>
      <c r="F591" s="289"/>
      <c r="G591" s="289"/>
      <c r="H591" s="259"/>
      <c r="I591" s="258"/>
      <c r="J591" s="258"/>
      <c r="K591" s="259"/>
      <c r="L591" s="289"/>
      <c r="M591" s="289"/>
      <c r="N591" s="259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</row>
    <row r="592" ht="21.0" customHeight="1">
      <c r="A592" s="147"/>
      <c r="B592" s="148"/>
      <c r="C592" s="289"/>
      <c r="D592" s="289"/>
      <c r="E592" s="259"/>
      <c r="F592" s="289"/>
      <c r="G592" s="289"/>
      <c r="H592" s="259"/>
      <c r="I592" s="258"/>
      <c r="J592" s="258"/>
      <c r="K592" s="259"/>
      <c r="L592" s="289"/>
      <c r="M592" s="289"/>
      <c r="N592" s="259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</row>
    <row r="593" ht="21.0" customHeight="1">
      <c r="A593" s="147"/>
      <c r="B593" s="148"/>
      <c r="C593" s="289"/>
      <c r="D593" s="289"/>
      <c r="E593" s="259"/>
      <c r="F593" s="289"/>
      <c r="G593" s="289"/>
      <c r="H593" s="259"/>
      <c r="I593" s="258"/>
      <c r="J593" s="258"/>
      <c r="K593" s="259"/>
      <c r="L593" s="289"/>
      <c r="M593" s="289"/>
      <c r="N593" s="259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</row>
    <row r="594" ht="21.0" customHeight="1">
      <c r="A594" s="147"/>
      <c r="B594" s="148"/>
      <c r="C594" s="289"/>
      <c r="D594" s="289"/>
      <c r="E594" s="259"/>
      <c r="F594" s="289"/>
      <c r="G594" s="289"/>
      <c r="H594" s="259"/>
      <c r="I594" s="258"/>
      <c r="J594" s="258"/>
      <c r="K594" s="259"/>
      <c r="L594" s="289"/>
      <c r="M594" s="289"/>
      <c r="N594" s="259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</row>
    <row r="595" ht="21.0" customHeight="1">
      <c r="A595" s="147"/>
      <c r="B595" s="148"/>
      <c r="C595" s="289"/>
      <c r="D595" s="289"/>
      <c r="E595" s="259"/>
      <c r="F595" s="289"/>
      <c r="G595" s="289"/>
      <c r="H595" s="259"/>
      <c r="I595" s="258"/>
      <c r="J595" s="258"/>
      <c r="K595" s="259"/>
      <c r="L595" s="289"/>
      <c r="M595" s="289"/>
      <c r="N595" s="259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</row>
    <row r="596" ht="21.0" customHeight="1">
      <c r="A596" s="147"/>
      <c r="B596" s="148"/>
      <c r="C596" s="289"/>
      <c r="D596" s="289"/>
      <c r="E596" s="259"/>
      <c r="F596" s="289"/>
      <c r="G596" s="289"/>
      <c r="H596" s="259"/>
      <c r="I596" s="258"/>
      <c r="J596" s="258"/>
      <c r="K596" s="259"/>
      <c r="L596" s="289"/>
      <c r="M596" s="289"/>
      <c r="N596" s="259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</row>
    <row r="597" ht="21.0" customHeight="1">
      <c r="A597" s="147"/>
      <c r="B597" s="148"/>
      <c r="C597" s="289"/>
      <c r="D597" s="289"/>
      <c r="E597" s="259"/>
      <c r="F597" s="289"/>
      <c r="G597" s="289"/>
      <c r="H597" s="259"/>
      <c r="I597" s="258"/>
      <c r="J597" s="258"/>
      <c r="K597" s="259"/>
      <c r="L597" s="289"/>
      <c r="M597" s="289"/>
      <c r="N597" s="259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</row>
    <row r="598" ht="21.0" customHeight="1">
      <c r="A598" s="147"/>
      <c r="B598" s="148"/>
      <c r="C598" s="289"/>
      <c r="D598" s="289"/>
      <c r="E598" s="259"/>
      <c r="F598" s="289"/>
      <c r="G598" s="289"/>
      <c r="H598" s="259"/>
      <c r="I598" s="258"/>
      <c r="J598" s="258"/>
      <c r="K598" s="259"/>
      <c r="L598" s="289"/>
      <c r="M598" s="289"/>
      <c r="N598" s="259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</row>
    <row r="599" ht="21.0" customHeight="1">
      <c r="A599" s="147"/>
      <c r="B599" s="148"/>
      <c r="C599" s="289"/>
      <c r="D599" s="289"/>
      <c r="E599" s="259"/>
      <c r="F599" s="289"/>
      <c r="G599" s="289"/>
      <c r="H599" s="259"/>
      <c r="I599" s="258"/>
      <c r="J599" s="258"/>
      <c r="K599" s="259"/>
      <c r="L599" s="289"/>
      <c r="M599" s="289"/>
      <c r="N599" s="259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</row>
    <row r="600" ht="21.0" customHeight="1">
      <c r="A600" s="147"/>
      <c r="B600" s="148"/>
      <c r="C600" s="289"/>
      <c r="D600" s="289"/>
      <c r="E600" s="259"/>
      <c r="F600" s="289"/>
      <c r="G600" s="289"/>
      <c r="H600" s="259"/>
      <c r="I600" s="258"/>
      <c r="J600" s="258"/>
      <c r="K600" s="259"/>
      <c r="L600" s="289"/>
      <c r="M600" s="289"/>
      <c r="N600" s="259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</row>
    <row r="601" ht="21.0" customHeight="1">
      <c r="A601" s="147"/>
      <c r="B601" s="148"/>
      <c r="C601" s="289"/>
      <c r="D601" s="289"/>
      <c r="E601" s="259"/>
      <c r="F601" s="289"/>
      <c r="G601" s="289"/>
      <c r="H601" s="259"/>
      <c r="I601" s="258"/>
      <c r="J601" s="258"/>
      <c r="K601" s="259"/>
      <c r="L601" s="289"/>
      <c r="M601" s="289"/>
      <c r="N601" s="259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</row>
    <row r="602" ht="21.0" customHeight="1">
      <c r="A602" s="147"/>
      <c r="B602" s="148"/>
      <c r="C602" s="289"/>
      <c r="D602" s="289"/>
      <c r="E602" s="259"/>
      <c r="F602" s="289"/>
      <c r="G602" s="289"/>
      <c r="H602" s="259"/>
      <c r="I602" s="258"/>
      <c r="J602" s="258"/>
      <c r="K602" s="259"/>
      <c r="L602" s="289"/>
      <c r="M602" s="289"/>
      <c r="N602" s="259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</row>
    <row r="603" ht="21.0" customHeight="1">
      <c r="A603" s="147"/>
      <c r="B603" s="148"/>
      <c r="C603" s="289"/>
      <c r="D603" s="289"/>
      <c r="E603" s="259"/>
      <c r="F603" s="289"/>
      <c r="G603" s="289"/>
      <c r="H603" s="259"/>
      <c r="I603" s="258"/>
      <c r="J603" s="258"/>
      <c r="K603" s="259"/>
      <c r="L603" s="289"/>
      <c r="M603" s="289"/>
      <c r="N603" s="259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</row>
    <row r="604" ht="21.0" customHeight="1">
      <c r="A604" s="147"/>
      <c r="B604" s="148"/>
      <c r="C604" s="289"/>
      <c r="D604" s="289"/>
      <c r="E604" s="259"/>
      <c r="F604" s="289"/>
      <c r="G604" s="289"/>
      <c r="H604" s="259"/>
      <c r="I604" s="258"/>
      <c r="J604" s="258"/>
      <c r="K604" s="259"/>
      <c r="L604" s="289"/>
      <c r="M604" s="289"/>
      <c r="N604" s="259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</row>
    <row r="605" ht="21.0" customHeight="1">
      <c r="A605" s="147"/>
      <c r="B605" s="148"/>
      <c r="C605" s="289"/>
      <c r="D605" s="289"/>
      <c r="E605" s="259"/>
      <c r="F605" s="289"/>
      <c r="G605" s="289"/>
      <c r="H605" s="259"/>
      <c r="I605" s="258"/>
      <c r="J605" s="258"/>
      <c r="K605" s="259"/>
      <c r="L605" s="289"/>
      <c r="M605" s="289"/>
      <c r="N605" s="259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</row>
    <row r="606" ht="21.0" customHeight="1">
      <c r="A606" s="147"/>
      <c r="B606" s="148"/>
      <c r="C606" s="289"/>
      <c r="D606" s="289"/>
      <c r="E606" s="259"/>
      <c r="F606" s="289"/>
      <c r="G606" s="289"/>
      <c r="H606" s="259"/>
      <c r="I606" s="258"/>
      <c r="J606" s="258"/>
      <c r="K606" s="259"/>
      <c r="L606" s="289"/>
      <c r="M606" s="289"/>
      <c r="N606" s="259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</row>
    <row r="607" ht="21.0" customHeight="1">
      <c r="A607" s="147"/>
      <c r="B607" s="148"/>
      <c r="C607" s="289"/>
      <c r="D607" s="289"/>
      <c r="E607" s="259"/>
      <c r="F607" s="289"/>
      <c r="G607" s="289"/>
      <c r="H607" s="259"/>
      <c r="I607" s="258"/>
      <c r="J607" s="258"/>
      <c r="K607" s="259"/>
      <c r="L607" s="289"/>
      <c r="M607" s="289"/>
      <c r="N607" s="259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</row>
    <row r="608" ht="21.0" customHeight="1">
      <c r="A608" s="147"/>
      <c r="B608" s="358"/>
      <c r="C608" s="289"/>
      <c r="D608" s="289"/>
      <c r="E608" s="259"/>
      <c r="F608" s="289"/>
      <c r="G608" s="289"/>
      <c r="H608" s="259"/>
      <c r="I608" s="258"/>
      <c r="J608" s="258"/>
      <c r="K608" s="259"/>
      <c r="L608" s="289"/>
      <c r="M608" s="289"/>
      <c r="N608" s="259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</row>
    <row r="609" ht="21.0" customHeight="1">
      <c r="A609" s="171" t="s">
        <v>36</v>
      </c>
      <c r="B609" s="21"/>
      <c r="C609" s="174"/>
      <c r="D609" s="192"/>
      <c r="E609" s="173"/>
      <c r="F609" s="174"/>
      <c r="G609" s="192"/>
      <c r="H609" s="173"/>
      <c r="I609" s="174">
        <f t="shared" ref="I609:K609" si="127">SUM(I585:I608)</f>
        <v>0</v>
      </c>
      <c r="J609" s="174">
        <f t="shared" si="127"/>
        <v>0</v>
      </c>
      <c r="K609" s="285">
        <f t="shared" si="127"/>
        <v>0</v>
      </c>
      <c r="L609" s="174"/>
      <c r="M609" s="192"/>
      <c r="N609" s="173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</row>
  </sheetData>
  <mergeCells count="281">
    <mergeCell ref="A317:B317"/>
    <mergeCell ref="A322:N322"/>
    <mergeCell ref="A323:N323"/>
    <mergeCell ref="A324:A327"/>
    <mergeCell ref="B324:B327"/>
    <mergeCell ref="C324:E325"/>
    <mergeCell ref="F324:H325"/>
    <mergeCell ref="I355:K355"/>
    <mergeCell ref="L355:N355"/>
    <mergeCell ref="I356:K356"/>
    <mergeCell ref="L356:N356"/>
    <mergeCell ref="C382:E383"/>
    <mergeCell ref="F382:H383"/>
    <mergeCell ref="I382:K383"/>
    <mergeCell ref="L382:N383"/>
    <mergeCell ref="C384:E384"/>
    <mergeCell ref="F384:H384"/>
    <mergeCell ref="I384:K384"/>
    <mergeCell ref="L384:N384"/>
    <mergeCell ref="A405:B405"/>
    <mergeCell ref="A410:N410"/>
    <mergeCell ref="A411:N411"/>
    <mergeCell ref="A412:A415"/>
    <mergeCell ref="B412:B415"/>
    <mergeCell ref="C412:E413"/>
    <mergeCell ref="F412:H413"/>
    <mergeCell ref="I443:K443"/>
    <mergeCell ref="L443:N443"/>
    <mergeCell ref="C414:E414"/>
    <mergeCell ref="F414:H414"/>
    <mergeCell ref="A435:B435"/>
    <mergeCell ref="A438:B438"/>
    <mergeCell ref="A439:N439"/>
    <mergeCell ref="A440:N440"/>
    <mergeCell ref="A441:A444"/>
    <mergeCell ref="L441:N442"/>
    <mergeCell ref="F443:H443"/>
    <mergeCell ref="B441:B444"/>
    <mergeCell ref="C441:E442"/>
    <mergeCell ref="C443:E443"/>
    <mergeCell ref="A464:N464"/>
    <mergeCell ref="A466:N466"/>
    <mergeCell ref="A468:N468"/>
    <mergeCell ref="A469:N469"/>
    <mergeCell ref="C470:E471"/>
    <mergeCell ref="F470:H471"/>
    <mergeCell ref="I470:K471"/>
    <mergeCell ref="L470:N471"/>
    <mergeCell ref="C472:E472"/>
    <mergeCell ref="F472:H472"/>
    <mergeCell ref="I472:K472"/>
    <mergeCell ref="L472:N472"/>
    <mergeCell ref="A498:N498"/>
    <mergeCell ref="A499:N499"/>
    <mergeCell ref="C500:E501"/>
    <mergeCell ref="F500:H501"/>
    <mergeCell ref="I500:K501"/>
    <mergeCell ref="L500:N501"/>
    <mergeCell ref="A530:A533"/>
    <mergeCell ref="B530:B533"/>
    <mergeCell ref="C530:E531"/>
    <mergeCell ref="F530:H531"/>
    <mergeCell ref="I530:K531"/>
    <mergeCell ref="L530:N531"/>
    <mergeCell ref="C532:E532"/>
    <mergeCell ref="L532:N532"/>
    <mergeCell ref="F532:H532"/>
    <mergeCell ref="I532:K532"/>
    <mergeCell ref="A553:B553"/>
    <mergeCell ref="A582:N582"/>
    <mergeCell ref="A583:N583"/>
    <mergeCell ref="A584:N584"/>
    <mergeCell ref="A585:N585"/>
    <mergeCell ref="F588:H588"/>
    <mergeCell ref="I588:K588"/>
    <mergeCell ref="A609:B609"/>
    <mergeCell ref="A586:A589"/>
    <mergeCell ref="B586:B589"/>
    <mergeCell ref="C586:E587"/>
    <mergeCell ref="F586:H587"/>
    <mergeCell ref="I586:K587"/>
    <mergeCell ref="L586:N587"/>
    <mergeCell ref="C588:E588"/>
    <mergeCell ref="L588:N588"/>
    <mergeCell ref="C326:E326"/>
    <mergeCell ref="F326:H326"/>
    <mergeCell ref="A347:B347"/>
    <mergeCell ref="A352:N352"/>
    <mergeCell ref="A353:N353"/>
    <mergeCell ref="A354:A357"/>
    <mergeCell ref="B354:B357"/>
    <mergeCell ref="C356:E356"/>
    <mergeCell ref="F356:H356"/>
    <mergeCell ref="A377:B377"/>
    <mergeCell ref="A380:N380"/>
    <mergeCell ref="A381:N381"/>
    <mergeCell ref="A382:A385"/>
    <mergeCell ref="B382:B385"/>
    <mergeCell ref="I412:K413"/>
    <mergeCell ref="L412:N413"/>
    <mergeCell ref="I414:K414"/>
    <mergeCell ref="L414:N414"/>
    <mergeCell ref="F441:H442"/>
    <mergeCell ref="I441:K442"/>
    <mergeCell ref="C502:E502"/>
    <mergeCell ref="F502:H502"/>
    <mergeCell ref="I502:K502"/>
    <mergeCell ref="L502:N502"/>
    <mergeCell ref="A528:N528"/>
    <mergeCell ref="A529:N529"/>
    <mergeCell ref="A463:B463"/>
    <mergeCell ref="A470:A473"/>
    <mergeCell ref="B470:B473"/>
    <mergeCell ref="A493:B493"/>
    <mergeCell ref="A500:A503"/>
    <mergeCell ref="B500:B503"/>
    <mergeCell ref="A523:B523"/>
    <mergeCell ref="L3:N4"/>
    <mergeCell ref="P3:P6"/>
    <mergeCell ref="Q3:Q6"/>
    <mergeCell ref="R3:U4"/>
    <mergeCell ref="L5:N5"/>
    <mergeCell ref="R5:U5"/>
    <mergeCell ref="P7:Q7"/>
    <mergeCell ref="R7:T7"/>
    <mergeCell ref="A1:N1"/>
    <mergeCell ref="A2:N2"/>
    <mergeCell ref="A3:A6"/>
    <mergeCell ref="B3:B6"/>
    <mergeCell ref="C3:E4"/>
    <mergeCell ref="F3:H4"/>
    <mergeCell ref="I3:K4"/>
    <mergeCell ref="I5:K5"/>
    <mergeCell ref="C32:E33"/>
    <mergeCell ref="I32:K32"/>
    <mergeCell ref="F33:H33"/>
    <mergeCell ref="I33:K33"/>
    <mergeCell ref="L32:N32"/>
    <mergeCell ref="L33:N33"/>
    <mergeCell ref="I34:K34"/>
    <mergeCell ref="L34:N34"/>
    <mergeCell ref="C61:E61"/>
    <mergeCell ref="F61:H62"/>
    <mergeCell ref="I61:K62"/>
    <mergeCell ref="L61:N62"/>
    <mergeCell ref="C5:E5"/>
    <mergeCell ref="F5:H5"/>
    <mergeCell ref="A26:B26"/>
    <mergeCell ref="A30:N30"/>
    <mergeCell ref="A31:N31"/>
    <mergeCell ref="A32:A35"/>
    <mergeCell ref="B32:B35"/>
    <mergeCell ref="F63:H63"/>
    <mergeCell ref="I63:K63"/>
    <mergeCell ref="C90:E91"/>
    <mergeCell ref="F90:H91"/>
    <mergeCell ref="I90:K90"/>
    <mergeCell ref="L90:N90"/>
    <mergeCell ref="I91:K91"/>
    <mergeCell ref="L91:N91"/>
    <mergeCell ref="C92:E92"/>
    <mergeCell ref="F92:H92"/>
    <mergeCell ref="I92:K92"/>
    <mergeCell ref="L92:N92"/>
    <mergeCell ref="C34:E34"/>
    <mergeCell ref="F34:H34"/>
    <mergeCell ref="A55:B55"/>
    <mergeCell ref="A59:N59"/>
    <mergeCell ref="A60:N60"/>
    <mergeCell ref="A61:A64"/>
    <mergeCell ref="B61:B64"/>
    <mergeCell ref="L63:N63"/>
    <mergeCell ref="C62:E62"/>
    <mergeCell ref="C63:E63"/>
    <mergeCell ref="A84:B84"/>
    <mergeCell ref="A88:N88"/>
    <mergeCell ref="A89:N89"/>
    <mergeCell ref="A90:A93"/>
    <mergeCell ref="B90:B93"/>
    <mergeCell ref="F119:H120"/>
    <mergeCell ref="C120:E120"/>
    <mergeCell ref="I121:K121"/>
    <mergeCell ref="L121:N121"/>
    <mergeCell ref="C148:E149"/>
    <mergeCell ref="F148:H149"/>
    <mergeCell ref="I148:K148"/>
    <mergeCell ref="L148:N148"/>
    <mergeCell ref="I149:K149"/>
    <mergeCell ref="L149:N149"/>
    <mergeCell ref="A113:B113"/>
    <mergeCell ref="A117:N117"/>
    <mergeCell ref="A118:N118"/>
    <mergeCell ref="A119:A122"/>
    <mergeCell ref="B119:B122"/>
    <mergeCell ref="I119:K120"/>
    <mergeCell ref="L119:N120"/>
    <mergeCell ref="I150:K150"/>
    <mergeCell ref="L150:N150"/>
    <mergeCell ref="C121:E121"/>
    <mergeCell ref="F121:H121"/>
    <mergeCell ref="A142:B142"/>
    <mergeCell ref="A146:N146"/>
    <mergeCell ref="A147:N147"/>
    <mergeCell ref="A148:A151"/>
    <mergeCell ref="B148:B151"/>
    <mergeCell ref="C177:E178"/>
    <mergeCell ref="F177:H178"/>
    <mergeCell ref="I177:K178"/>
    <mergeCell ref="L177:N178"/>
    <mergeCell ref="I179:K179"/>
    <mergeCell ref="L179:N179"/>
    <mergeCell ref="C206:E207"/>
    <mergeCell ref="F206:H207"/>
    <mergeCell ref="C150:E150"/>
    <mergeCell ref="F150:H150"/>
    <mergeCell ref="A171:B171"/>
    <mergeCell ref="A175:N175"/>
    <mergeCell ref="A176:N176"/>
    <mergeCell ref="A177:A180"/>
    <mergeCell ref="B177:B180"/>
    <mergeCell ref="I206:K207"/>
    <mergeCell ref="L206:N207"/>
    <mergeCell ref="I208:K208"/>
    <mergeCell ref="L208:N208"/>
    <mergeCell ref="C236:E237"/>
    <mergeCell ref="F236:H237"/>
    <mergeCell ref="I236:K237"/>
    <mergeCell ref="L236:N237"/>
    <mergeCell ref="C238:E238"/>
    <mergeCell ref="F238:H238"/>
    <mergeCell ref="I238:K238"/>
    <mergeCell ref="L238:N238"/>
    <mergeCell ref="C179:E179"/>
    <mergeCell ref="F179:H179"/>
    <mergeCell ref="A200:B200"/>
    <mergeCell ref="A204:N204"/>
    <mergeCell ref="A205:N205"/>
    <mergeCell ref="A206:A209"/>
    <mergeCell ref="B206:B209"/>
    <mergeCell ref="C208:E208"/>
    <mergeCell ref="F208:H208"/>
    <mergeCell ref="A229:B229"/>
    <mergeCell ref="A234:N234"/>
    <mergeCell ref="A235:N235"/>
    <mergeCell ref="A236:A239"/>
    <mergeCell ref="B236:B239"/>
    <mergeCell ref="I265:K266"/>
    <mergeCell ref="L265:N266"/>
    <mergeCell ref="I267:K267"/>
    <mergeCell ref="L267:N267"/>
    <mergeCell ref="C294:E295"/>
    <mergeCell ref="I294:K294"/>
    <mergeCell ref="I295:K295"/>
    <mergeCell ref="L294:N294"/>
    <mergeCell ref="L295:N295"/>
    <mergeCell ref="C296:E296"/>
    <mergeCell ref="F296:H296"/>
    <mergeCell ref="A258:B258"/>
    <mergeCell ref="A263:N263"/>
    <mergeCell ref="A264:N264"/>
    <mergeCell ref="A265:A268"/>
    <mergeCell ref="B265:B268"/>
    <mergeCell ref="C265:E266"/>
    <mergeCell ref="F265:H266"/>
    <mergeCell ref="I296:K296"/>
    <mergeCell ref="L296:N296"/>
    <mergeCell ref="C267:E267"/>
    <mergeCell ref="F267:H267"/>
    <mergeCell ref="A287:B287"/>
    <mergeCell ref="A292:N292"/>
    <mergeCell ref="A293:N293"/>
    <mergeCell ref="A294:A297"/>
    <mergeCell ref="B294:B297"/>
    <mergeCell ref="I324:K325"/>
    <mergeCell ref="L324:N325"/>
    <mergeCell ref="I326:K326"/>
    <mergeCell ref="L326:N326"/>
    <mergeCell ref="C354:E355"/>
    <mergeCell ref="F354:H355"/>
    <mergeCell ref="I354:K354"/>
    <mergeCell ref="L354:N354"/>
  </mergeCells>
  <conditionalFormatting sqref="E228">
    <cfRule type="notContainsBlanks" dxfId="3" priority="1">
      <formula>LEN(TRIM(E228))&gt;0</formula>
    </cfRule>
  </conditionalFormatting>
  <printOptions/>
  <pageMargins bottom="0.17452109531084736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3" max="3" width="11.14"/>
    <col customWidth="1" min="4" max="4" width="11.86"/>
    <col customWidth="1" min="5" max="5" width="11.0"/>
    <col customWidth="1" min="6" max="6" width="12.14"/>
    <col customWidth="1" min="7" max="7" width="12.29"/>
    <col customWidth="1" min="8" max="8" width="12.71"/>
    <col customWidth="1" min="9" max="9" width="11.29"/>
    <col customWidth="1" min="10" max="10" width="12.0"/>
    <col customWidth="1" min="11" max="11" width="11.14"/>
    <col customWidth="1" min="12" max="12" width="12.43"/>
    <col customWidth="1" min="13" max="13" width="11.71"/>
    <col customWidth="1" min="14" max="14" width="11.29"/>
    <col customWidth="1" min="15" max="15" width="12.14"/>
    <col customWidth="1" min="21" max="21" width="20.57"/>
  </cols>
  <sheetData>
    <row r="1" ht="19.5" customHeight="1">
      <c r="A1" s="131" t="s">
        <v>91</v>
      </c>
    </row>
    <row r="2" ht="19.5" customHeight="1">
      <c r="A2" s="131" t="s">
        <v>193</v>
      </c>
    </row>
    <row r="3" ht="60.0" customHeight="1">
      <c r="A3" s="359" t="s">
        <v>4</v>
      </c>
      <c r="B3" s="8"/>
      <c r="C3" s="360" t="s">
        <v>194</v>
      </c>
      <c r="D3" s="20"/>
      <c r="E3" s="21"/>
      <c r="F3" s="361" t="s">
        <v>195</v>
      </c>
      <c r="G3" s="20"/>
      <c r="H3" s="21"/>
      <c r="I3" s="360" t="s">
        <v>196</v>
      </c>
      <c r="J3" s="20"/>
      <c r="K3" s="21"/>
      <c r="L3" s="360" t="s">
        <v>197</v>
      </c>
      <c r="M3" s="20"/>
      <c r="N3" s="21"/>
      <c r="P3" s="137" t="s">
        <v>4</v>
      </c>
      <c r="Q3" s="137" t="s">
        <v>5</v>
      </c>
      <c r="R3" s="138" t="s">
        <v>97</v>
      </c>
      <c r="S3" s="7"/>
      <c r="T3" s="7"/>
      <c r="U3" s="7"/>
    </row>
    <row r="4" ht="19.5" customHeight="1">
      <c r="A4" s="362"/>
      <c r="B4" s="13"/>
      <c r="C4" s="140" t="s">
        <v>198</v>
      </c>
      <c r="E4" s="13"/>
      <c r="F4" s="363" t="s">
        <v>198</v>
      </c>
      <c r="H4" s="13"/>
      <c r="I4" s="140" t="s">
        <v>198</v>
      </c>
      <c r="K4" s="13"/>
      <c r="L4" s="140" t="s">
        <v>198</v>
      </c>
      <c r="N4" s="13"/>
      <c r="P4" s="12"/>
      <c r="Q4" s="12"/>
      <c r="R4" s="362"/>
    </row>
    <row r="5" ht="19.5" customHeight="1">
      <c r="A5" s="14"/>
      <c r="B5" s="16"/>
      <c r="C5" s="144" t="s">
        <v>13</v>
      </c>
      <c r="D5" s="144" t="s">
        <v>14</v>
      </c>
      <c r="E5" s="144" t="s">
        <v>15</v>
      </c>
      <c r="F5" s="364" t="s">
        <v>13</v>
      </c>
      <c r="G5" s="144" t="s">
        <v>14</v>
      </c>
      <c r="H5" s="144" t="s">
        <v>15</v>
      </c>
      <c r="I5" s="144" t="s">
        <v>13</v>
      </c>
      <c r="J5" s="144" t="s">
        <v>14</v>
      </c>
      <c r="K5" s="144" t="s">
        <v>15</v>
      </c>
      <c r="L5" s="144" t="s">
        <v>13</v>
      </c>
      <c r="M5" s="144" t="s">
        <v>14</v>
      </c>
      <c r="N5" s="144" t="s">
        <v>15</v>
      </c>
      <c r="P5" s="12"/>
      <c r="Q5" s="12"/>
      <c r="R5" s="362"/>
    </row>
    <row r="6" ht="19.5" customHeight="1">
      <c r="A6" s="170">
        <v>1.0</v>
      </c>
      <c r="B6" s="365" t="s">
        <v>17</v>
      </c>
      <c r="C6" s="366"/>
      <c r="D6" s="366"/>
      <c r="E6" s="367"/>
      <c r="F6" s="368"/>
      <c r="G6" s="368"/>
      <c r="H6" s="369"/>
      <c r="I6" s="368"/>
      <c r="J6" s="368"/>
      <c r="K6" s="369"/>
      <c r="L6" s="368"/>
      <c r="M6" s="369"/>
      <c r="N6" s="370"/>
      <c r="P6" s="12"/>
      <c r="Q6" s="12"/>
      <c r="R6" s="362"/>
    </row>
    <row r="7" ht="19.5" customHeight="1">
      <c r="A7" s="170">
        <v>2.0</v>
      </c>
      <c r="B7" s="159" t="s">
        <v>18</v>
      </c>
      <c r="C7" s="371">
        <v>522925.0</v>
      </c>
      <c r="D7" s="371">
        <v>522925.0</v>
      </c>
      <c r="E7" s="372">
        <f t="shared" ref="E7:E24" si="1">C7-D7</f>
        <v>0</v>
      </c>
      <c r="F7" s="373">
        <v>10025.0</v>
      </c>
      <c r="G7" s="373"/>
      <c r="H7" s="374">
        <f t="shared" ref="H7:H25" si="2">F7-G7</f>
        <v>10025</v>
      </c>
      <c r="I7" s="373">
        <v>21700.0</v>
      </c>
      <c r="J7" s="373">
        <f t="shared" ref="J7:J11" si="3">10500+2200+9000</f>
        <v>21700</v>
      </c>
      <c r="K7" s="375">
        <f t="shared" ref="K7:K14" si="4">I7-J7</f>
        <v>0</v>
      </c>
      <c r="L7" s="373">
        <v>11200.0</v>
      </c>
      <c r="M7" s="376">
        <f>200+6000+5000</f>
        <v>11200</v>
      </c>
      <c r="N7" s="377">
        <f t="shared" ref="N7:N25" si="5">L7-M7</f>
        <v>0</v>
      </c>
      <c r="P7" s="12"/>
      <c r="Q7" s="12"/>
      <c r="R7" s="14"/>
      <c r="S7" s="15"/>
      <c r="T7" s="15"/>
      <c r="U7" s="15"/>
    </row>
    <row r="8" ht="19.5" customHeight="1">
      <c r="A8" s="170">
        <v>3.0</v>
      </c>
      <c r="B8" s="148" t="s">
        <v>19</v>
      </c>
      <c r="C8" s="371">
        <v>405300.0</v>
      </c>
      <c r="D8" s="371">
        <v>405300.0</v>
      </c>
      <c r="E8" s="372">
        <f t="shared" si="1"/>
        <v>0</v>
      </c>
      <c r="F8" s="378">
        <v>3375.0</v>
      </c>
      <c r="G8" s="371">
        <v>3375.0</v>
      </c>
      <c r="H8" s="375">
        <f t="shared" si="2"/>
        <v>0</v>
      </c>
      <c r="I8" s="373">
        <v>21700.0</v>
      </c>
      <c r="J8" s="379">
        <f t="shared" si="3"/>
        <v>21700</v>
      </c>
      <c r="K8" s="375">
        <f t="shared" si="4"/>
        <v>0</v>
      </c>
      <c r="L8" s="373">
        <v>11200.0</v>
      </c>
      <c r="M8" s="380">
        <f>5000+6000+200</f>
        <v>11200</v>
      </c>
      <c r="N8" s="381">
        <f t="shared" si="5"/>
        <v>0</v>
      </c>
      <c r="P8" s="12"/>
      <c r="Q8" s="12"/>
      <c r="R8" s="143" t="s">
        <v>199</v>
      </c>
      <c r="S8" s="20"/>
      <c r="T8" s="20"/>
      <c r="U8" s="21"/>
    </row>
    <row r="9" ht="19.5" customHeight="1">
      <c r="A9" s="170">
        <v>4.0</v>
      </c>
      <c r="B9" s="148" t="s">
        <v>20</v>
      </c>
      <c r="C9" s="382">
        <v>361150.0</v>
      </c>
      <c r="D9" s="382">
        <v>361150.0</v>
      </c>
      <c r="E9" s="383">
        <f t="shared" si="1"/>
        <v>0</v>
      </c>
      <c r="F9" s="384">
        <v>1925.0</v>
      </c>
      <c r="G9" s="385"/>
      <c r="H9" s="374">
        <f t="shared" si="2"/>
        <v>1925</v>
      </c>
      <c r="I9" s="373">
        <v>21700.0</v>
      </c>
      <c r="J9" s="384">
        <f t="shared" si="3"/>
        <v>21700</v>
      </c>
      <c r="K9" s="375">
        <f t="shared" si="4"/>
        <v>0</v>
      </c>
      <c r="L9" s="373">
        <v>11200.0</v>
      </c>
      <c r="M9" s="384">
        <f t="shared" ref="M9:M11" si="6">5000+200+6000</f>
        <v>11200</v>
      </c>
      <c r="N9" s="375">
        <f t="shared" si="5"/>
        <v>0</v>
      </c>
      <c r="P9" s="22"/>
      <c r="Q9" s="22"/>
      <c r="R9" s="145" t="s">
        <v>13</v>
      </c>
      <c r="S9" s="145" t="s">
        <v>14</v>
      </c>
      <c r="T9" s="145" t="s">
        <v>15</v>
      </c>
      <c r="U9" s="146" t="s">
        <v>100</v>
      </c>
    </row>
    <row r="10" ht="19.5" customHeight="1">
      <c r="A10" s="170">
        <v>5.0</v>
      </c>
      <c r="B10" s="148" t="s">
        <v>21</v>
      </c>
      <c r="C10" s="382">
        <v>255350.0</v>
      </c>
      <c r="D10" s="386">
        <f>255350</f>
        <v>255350</v>
      </c>
      <c r="E10" s="383">
        <f t="shared" si="1"/>
        <v>0</v>
      </c>
      <c r="F10" s="387">
        <v>3375.0</v>
      </c>
      <c r="G10" s="387">
        <v>3375.0</v>
      </c>
      <c r="H10" s="375">
        <f t="shared" si="2"/>
        <v>0</v>
      </c>
      <c r="I10" s="373">
        <v>21700.0</v>
      </c>
      <c r="J10" s="382">
        <f t="shared" si="3"/>
        <v>21700</v>
      </c>
      <c r="K10" s="375">
        <f t="shared" si="4"/>
        <v>0</v>
      </c>
      <c r="L10" s="373">
        <v>11200.0</v>
      </c>
      <c r="M10" s="384">
        <f t="shared" si="6"/>
        <v>11200</v>
      </c>
      <c r="N10" s="375">
        <f t="shared" si="5"/>
        <v>0</v>
      </c>
      <c r="P10" s="161"/>
      <c r="Q10" s="148"/>
      <c r="R10" s="157"/>
      <c r="S10" s="20"/>
      <c r="T10" s="21"/>
      <c r="U10" s="158"/>
    </row>
    <row r="11" ht="19.5" customHeight="1">
      <c r="A11" s="170">
        <v>6.0</v>
      </c>
      <c r="B11" s="148" t="s">
        <v>22</v>
      </c>
      <c r="C11" s="388">
        <v>169625.0</v>
      </c>
      <c r="D11" s="389">
        <f>169625</f>
        <v>169625</v>
      </c>
      <c r="E11" s="390">
        <f t="shared" si="1"/>
        <v>0</v>
      </c>
      <c r="F11" s="387">
        <v>1600.0</v>
      </c>
      <c r="G11" s="387">
        <v>1600.0</v>
      </c>
      <c r="H11" s="375">
        <f t="shared" si="2"/>
        <v>0</v>
      </c>
      <c r="I11" s="373">
        <v>21700.0</v>
      </c>
      <c r="J11" s="388">
        <f t="shared" si="3"/>
        <v>21700</v>
      </c>
      <c r="K11" s="375">
        <f t="shared" si="4"/>
        <v>0</v>
      </c>
      <c r="L11" s="373">
        <v>11200.0</v>
      </c>
      <c r="M11" s="384">
        <f t="shared" si="6"/>
        <v>11200</v>
      </c>
      <c r="N11" s="375">
        <f t="shared" si="5"/>
        <v>0</v>
      </c>
      <c r="P11" s="161">
        <v>2.0</v>
      </c>
      <c r="Q11" s="159" t="s">
        <v>18</v>
      </c>
      <c r="R11" s="391">
        <f t="shared" ref="R11:R26" si="7">SUM(C7+F7+L7+C34+F34+I34+L34+C62+F62+L62+C90)</f>
        <v>661860</v>
      </c>
      <c r="S11" s="163">
        <f t="shared" ref="S11:S18" si="8">SUM(D7+G7+J7+M7+D34+G34+J34+M34+D62+G62+J62+M62+D90)</f>
        <v>615485</v>
      </c>
      <c r="T11" s="164">
        <f t="shared" ref="T11:T28" si="9">SUM(R11-S11)</f>
        <v>46375</v>
      </c>
      <c r="U11" s="165">
        <f t="shared" ref="U11:U28" si="10">S11*100/R11</f>
        <v>92.9932312</v>
      </c>
    </row>
    <row r="12" ht="19.5" customHeight="1">
      <c r="A12" s="170">
        <v>7.0</v>
      </c>
      <c r="B12" s="148" t="s">
        <v>23</v>
      </c>
      <c r="C12" s="388">
        <v>226100.0</v>
      </c>
      <c r="D12" s="389">
        <f>226100</f>
        <v>226100</v>
      </c>
      <c r="E12" s="390">
        <f t="shared" si="1"/>
        <v>0</v>
      </c>
      <c r="F12" s="387">
        <v>2025.0</v>
      </c>
      <c r="G12" s="387">
        <v>2025.0</v>
      </c>
      <c r="H12" s="375">
        <f t="shared" si="2"/>
        <v>0</v>
      </c>
      <c r="I12" s="373">
        <v>21700.0</v>
      </c>
      <c r="J12" s="388">
        <f>10500+9000+2200</f>
        <v>21700</v>
      </c>
      <c r="K12" s="375">
        <f t="shared" si="4"/>
        <v>0</v>
      </c>
      <c r="L12" s="373">
        <v>11200.0</v>
      </c>
      <c r="M12" s="384">
        <f>5000+6000+200</f>
        <v>11200</v>
      </c>
      <c r="N12" s="375">
        <f t="shared" si="5"/>
        <v>0</v>
      </c>
      <c r="P12" s="161">
        <v>3.0</v>
      </c>
      <c r="Q12" s="148" t="s">
        <v>19</v>
      </c>
      <c r="R12" s="391">
        <f t="shared" si="7"/>
        <v>521685</v>
      </c>
      <c r="S12" s="163">
        <f t="shared" si="8"/>
        <v>518385</v>
      </c>
      <c r="T12" s="164">
        <f t="shared" si="9"/>
        <v>3300</v>
      </c>
      <c r="U12" s="165">
        <f t="shared" si="10"/>
        <v>99.36743437</v>
      </c>
      <c r="V12" s="392"/>
    </row>
    <row r="13" ht="19.5" customHeight="1">
      <c r="A13" s="170">
        <v>8.0</v>
      </c>
      <c r="B13" s="148" t="s">
        <v>24</v>
      </c>
      <c r="C13" s="388">
        <v>136000.0</v>
      </c>
      <c r="D13" s="389">
        <f>136000</f>
        <v>136000</v>
      </c>
      <c r="E13" s="390">
        <f t="shared" si="1"/>
        <v>0</v>
      </c>
      <c r="F13" s="387">
        <v>1425.0</v>
      </c>
      <c r="G13" s="373">
        <v>1425.0</v>
      </c>
      <c r="H13" s="375">
        <f t="shared" si="2"/>
        <v>0</v>
      </c>
      <c r="I13" s="373">
        <v>21700.0</v>
      </c>
      <c r="J13" s="393">
        <f>2200+10500+9000</f>
        <v>21700</v>
      </c>
      <c r="K13" s="375">
        <f t="shared" si="4"/>
        <v>0</v>
      </c>
      <c r="L13" s="373">
        <v>11200.0</v>
      </c>
      <c r="M13" s="384">
        <f>200+5000+6000</f>
        <v>11200</v>
      </c>
      <c r="N13" s="375">
        <f t="shared" si="5"/>
        <v>0</v>
      </c>
      <c r="P13" s="161">
        <v>4.0</v>
      </c>
      <c r="Q13" s="148" t="s">
        <v>20</v>
      </c>
      <c r="R13" s="391">
        <f t="shared" si="7"/>
        <v>456485</v>
      </c>
      <c r="S13" s="163">
        <f t="shared" si="8"/>
        <v>513760</v>
      </c>
      <c r="T13" s="164">
        <f t="shared" si="9"/>
        <v>-57275</v>
      </c>
      <c r="U13" s="165">
        <f t="shared" si="10"/>
        <v>112.5469621</v>
      </c>
      <c r="V13" s="394"/>
    </row>
    <row r="14" ht="19.5" customHeight="1">
      <c r="A14" s="170">
        <v>9.0</v>
      </c>
      <c r="B14" s="148" t="s">
        <v>25</v>
      </c>
      <c r="C14" s="388">
        <v>158125.0</v>
      </c>
      <c r="D14" s="388">
        <v>158125.0</v>
      </c>
      <c r="E14" s="390">
        <f t="shared" si="1"/>
        <v>0</v>
      </c>
      <c r="F14" s="387">
        <v>425.0</v>
      </c>
      <c r="G14" s="387">
        <v>425.0</v>
      </c>
      <c r="H14" s="375">
        <f t="shared" si="2"/>
        <v>0</v>
      </c>
      <c r="I14" s="373">
        <v>21700.0</v>
      </c>
      <c r="J14" s="388">
        <f>10500+2200+9000</f>
        <v>21700</v>
      </c>
      <c r="K14" s="375">
        <f t="shared" si="4"/>
        <v>0</v>
      </c>
      <c r="L14" s="373">
        <v>11200.0</v>
      </c>
      <c r="M14" s="384">
        <f t="shared" ref="M14:M15" si="11">5000+200+6000</f>
        <v>11200</v>
      </c>
      <c r="N14" s="375">
        <f t="shared" si="5"/>
        <v>0</v>
      </c>
      <c r="P14" s="161">
        <v>5.0</v>
      </c>
      <c r="Q14" s="148" t="s">
        <v>21</v>
      </c>
      <c r="R14" s="391">
        <f t="shared" si="7"/>
        <v>337515</v>
      </c>
      <c r="S14" s="163">
        <f t="shared" si="8"/>
        <v>359215</v>
      </c>
      <c r="T14" s="164">
        <f t="shared" si="9"/>
        <v>-21700</v>
      </c>
      <c r="U14" s="165">
        <f t="shared" si="10"/>
        <v>106.4293439</v>
      </c>
      <c r="V14" s="394"/>
    </row>
    <row r="15" ht="19.5" customHeight="1">
      <c r="A15" s="170">
        <v>10.0</v>
      </c>
      <c r="B15" s="148" t="s">
        <v>26</v>
      </c>
      <c r="C15" s="388">
        <v>128800.0</v>
      </c>
      <c r="D15" s="389">
        <f>128800</f>
        <v>128800</v>
      </c>
      <c r="E15" s="390">
        <f t="shared" si="1"/>
        <v>0</v>
      </c>
      <c r="F15" s="387">
        <v>8175.0</v>
      </c>
      <c r="G15" s="387">
        <v>8175.0</v>
      </c>
      <c r="H15" s="375">
        <f t="shared" si="2"/>
        <v>0</v>
      </c>
      <c r="I15" s="373">
        <v>21700.0</v>
      </c>
      <c r="J15" s="388">
        <f t="shared" ref="J15:J16" si="12">10500+9000+2200</f>
        <v>21700</v>
      </c>
      <c r="K15" s="395">
        <v>0.0</v>
      </c>
      <c r="L15" s="373">
        <v>11200.0</v>
      </c>
      <c r="M15" s="384">
        <f t="shared" si="11"/>
        <v>11200</v>
      </c>
      <c r="N15" s="375">
        <f t="shared" si="5"/>
        <v>0</v>
      </c>
      <c r="P15" s="161">
        <v>6.0</v>
      </c>
      <c r="Q15" s="148" t="s">
        <v>22</v>
      </c>
      <c r="R15" s="391">
        <f t="shared" si="7"/>
        <v>222235</v>
      </c>
      <c r="S15" s="163">
        <f t="shared" si="8"/>
        <v>268935</v>
      </c>
      <c r="T15" s="164">
        <f t="shared" si="9"/>
        <v>-46700</v>
      </c>
      <c r="U15" s="165">
        <f t="shared" si="10"/>
        <v>121.0137917</v>
      </c>
      <c r="V15" s="394"/>
    </row>
    <row r="16" ht="19.5" customHeight="1">
      <c r="A16" s="170">
        <v>11.0</v>
      </c>
      <c r="B16" s="148" t="s">
        <v>27</v>
      </c>
      <c r="C16" s="388">
        <v>129100.0</v>
      </c>
      <c r="D16" s="389">
        <f>129100</f>
        <v>129100</v>
      </c>
      <c r="E16" s="390">
        <f t="shared" si="1"/>
        <v>0</v>
      </c>
      <c r="F16" s="387">
        <v>50.0</v>
      </c>
      <c r="G16" s="387">
        <v>50.0</v>
      </c>
      <c r="H16" s="375">
        <f t="shared" si="2"/>
        <v>0</v>
      </c>
      <c r="I16" s="373">
        <v>21700.0</v>
      </c>
      <c r="J16" s="388">
        <f t="shared" si="12"/>
        <v>21700</v>
      </c>
      <c r="K16" s="375">
        <f t="shared" ref="K16:K24" si="13">I16-J16</f>
        <v>0</v>
      </c>
      <c r="L16" s="373">
        <v>11200.0</v>
      </c>
      <c r="M16" s="384">
        <f>11000+200</f>
        <v>11200</v>
      </c>
      <c r="N16" s="375">
        <f t="shared" si="5"/>
        <v>0</v>
      </c>
      <c r="P16" s="161">
        <v>7.0</v>
      </c>
      <c r="Q16" s="148" t="s">
        <v>23</v>
      </c>
      <c r="R16" s="391">
        <f t="shared" si="7"/>
        <v>301135</v>
      </c>
      <c r="S16" s="163">
        <f t="shared" si="8"/>
        <v>335335</v>
      </c>
      <c r="T16" s="164">
        <f t="shared" si="9"/>
        <v>-34200</v>
      </c>
      <c r="U16" s="165">
        <f t="shared" si="10"/>
        <v>111.3570326</v>
      </c>
      <c r="V16" s="394"/>
    </row>
    <row r="17" ht="18.75" customHeight="1">
      <c r="A17" s="170">
        <v>12.0</v>
      </c>
      <c r="B17" s="148" t="s">
        <v>28</v>
      </c>
      <c r="C17" s="388">
        <v>115400.0</v>
      </c>
      <c r="D17" s="389">
        <f>115400</f>
        <v>115400</v>
      </c>
      <c r="E17" s="390">
        <f t="shared" si="1"/>
        <v>0</v>
      </c>
      <c r="F17" s="387">
        <v>2050.0</v>
      </c>
      <c r="G17" s="396">
        <f>2050</f>
        <v>2050</v>
      </c>
      <c r="H17" s="375">
        <f t="shared" si="2"/>
        <v>0</v>
      </c>
      <c r="I17" s="373">
        <v>21700.0</v>
      </c>
      <c r="J17" s="388">
        <f>10500+2200</f>
        <v>12700</v>
      </c>
      <c r="K17" s="397">
        <f t="shared" si="13"/>
        <v>9000</v>
      </c>
      <c r="L17" s="373">
        <v>11200.0</v>
      </c>
      <c r="M17" s="384">
        <f>5000+200+6000</f>
        <v>11200</v>
      </c>
      <c r="N17" s="375">
        <f t="shared" si="5"/>
        <v>0</v>
      </c>
      <c r="P17" s="161">
        <v>8.0</v>
      </c>
      <c r="Q17" s="148" t="s">
        <v>24</v>
      </c>
      <c r="R17" s="391">
        <f t="shared" si="7"/>
        <v>229335</v>
      </c>
      <c r="S17" s="163">
        <f t="shared" si="8"/>
        <v>251035</v>
      </c>
      <c r="T17" s="164">
        <f t="shared" si="9"/>
        <v>-21700</v>
      </c>
      <c r="U17" s="165">
        <f t="shared" si="10"/>
        <v>109.4621405</v>
      </c>
      <c r="V17" s="394"/>
    </row>
    <row r="18" ht="19.5" customHeight="1">
      <c r="A18" s="170">
        <v>13.0</v>
      </c>
      <c r="B18" s="148" t="s">
        <v>29</v>
      </c>
      <c r="C18" s="388">
        <v>41450.0</v>
      </c>
      <c r="D18" s="389">
        <f>41450</f>
        <v>41450</v>
      </c>
      <c r="E18" s="390">
        <f t="shared" si="1"/>
        <v>0</v>
      </c>
      <c r="F18" s="387">
        <v>2225.0</v>
      </c>
      <c r="G18" s="387">
        <v>2225.0</v>
      </c>
      <c r="H18" s="375">
        <f t="shared" si="2"/>
        <v>0</v>
      </c>
      <c r="I18" s="373">
        <v>21700.0</v>
      </c>
      <c r="J18" s="388">
        <f>9900+2200+9000</f>
        <v>21100</v>
      </c>
      <c r="K18" s="398">
        <f t="shared" si="13"/>
        <v>600</v>
      </c>
      <c r="L18" s="373">
        <v>11200.0</v>
      </c>
      <c r="M18" s="384">
        <f>4600+200</f>
        <v>4800</v>
      </c>
      <c r="N18" s="398">
        <f t="shared" si="5"/>
        <v>6400</v>
      </c>
      <c r="P18" s="161">
        <v>9.0</v>
      </c>
      <c r="Q18" s="148" t="s">
        <v>25</v>
      </c>
      <c r="R18" s="391">
        <f t="shared" si="7"/>
        <v>209560</v>
      </c>
      <c r="S18" s="163">
        <f t="shared" si="8"/>
        <v>231260</v>
      </c>
      <c r="T18" s="164">
        <f t="shared" si="9"/>
        <v>-21700</v>
      </c>
      <c r="U18" s="165">
        <f t="shared" si="10"/>
        <v>110.3550296</v>
      </c>
      <c r="V18" s="394"/>
    </row>
    <row r="19" ht="19.5" customHeight="1">
      <c r="A19" s="170">
        <v>14.0</v>
      </c>
      <c r="B19" s="148" t="s">
        <v>30</v>
      </c>
      <c r="C19" s="388">
        <v>94050.0</v>
      </c>
      <c r="D19" s="389">
        <f>94050</f>
        <v>94050</v>
      </c>
      <c r="E19" s="390">
        <f t="shared" si="1"/>
        <v>0</v>
      </c>
      <c r="F19" s="387">
        <v>550.0</v>
      </c>
      <c r="G19" s="387">
        <v>550.0</v>
      </c>
      <c r="H19" s="375">
        <f t="shared" si="2"/>
        <v>0</v>
      </c>
      <c r="I19" s="373">
        <v>21700.0</v>
      </c>
      <c r="J19" s="388">
        <f>10500+2200+9000</f>
        <v>21700</v>
      </c>
      <c r="K19" s="375">
        <f t="shared" si="13"/>
        <v>0</v>
      </c>
      <c r="L19" s="373">
        <v>11200.0</v>
      </c>
      <c r="M19" s="384">
        <f>5000+200+6000</f>
        <v>11200</v>
      </c>
      <c r="N19" s="375">
        <f t="shared" si="5"/>
        <v>0</v>
      </c>
      <c r="P19" s="161">
        <v>10.0</v>
      </c>
      <c r="Q19" s="148" t="s">
        <v>26</v>
      </c>
      <c r="R19" s="391">
        <f t="shared" si="7"/>
        <v>207985</v>
      </c>
      <c r="S19" s="163">
        <f>SUM(D7+G7+J7+M7+D34+G34+J34+M34+D62+G62+J62+M62+D90)</f>
        <v>615485</v>
      </c>
      <c r="T19" s="164">
        <f t="shared" si="9"/>
        <v>-407500</v>
      </c>
      <c r="U19" s="165">
        <f t="shared" si="10"/>
        <v>295.9275909</v>
      </c>
      <c r="V19" s="392"/>
    </row>
    <row r="20" ht="19.5" customHeight="1">
      <c r="A20" s="170">
        <v>15.0</v>
      </c>
      <c r="B20" s="148" t="s">
        <v>31</v>
      </c>
      <c r="C20" s="388">
        <v>100800.0</v>
      </c>
      <c r="D20" s="389">
        <f>100800</f>
        <v>100800</v>
      </c>
      <c r="E20" s="390">
        <f t="shared" si="1"/>
        <v>0</v>
      </c>
      <c r="F20" s="387">
        <v>75.0</v>
      </c>
      <c r="G20" s="387">
        <v>75.0</v>
      </c>
      <c r="H20" s="375">
        <f t="shared" si="2"/>
        <v>0</v>
      </c>
      <c r="I20" s="373">
        <v>21700.0</v>
      </c>
      <c r="J20" s="388">
        <v>10500.0</v>
      </c>
      <c r="K20" s="397">
        <f t="shared" si="13"/>
        <v>11200</v>
      </c>
      <c r="L20" s="373">
        <v>11200.0</v>
      </c>
      <c r="M20" s="384">
        <v>5000.0</v>
      </c>
      <c r="N20" s="397">
        <f t="shared" si="5"/>
        <v>6200</v>
      </c>
      <c r="P20" s="161">
        <v>11.0</v>
      </c>
      <c r="Q20" s="148" t="s">
        <v>27</v>
      </c>
      <c r="R20" s="391">
        <f t="shared" si="7"/>
        <v>254860</v>
      </c>
      <c r="S20" s="163">
        <f t="shared" ref="S20:S26" si="14">SUM(D16+G16+J16+M16+D43+G43+J43+M43+D71+G71+J71+M71+D99)</f>
        <v>206520</v>
      </c>
      <c r="T20" s="164">
        <f t="shared" si="9"/>
        <v>48340</v>
      </c>
      <c r="U20" s="165">
        <f t="shared" si="10"/>
        <v>81.03272385</v>
      </c>
      <c r="V20" s="394"/>
    </row>
    <row r="21" ht="19.5" customHeight="1">
      <c r="A21" s="170">
        <v>16.0</v>
      </c>
      <c r="B21" s="148" t="s">
        <v>32</v>
      </c>
      <c r="C21" s="388">
        <v>90700.0</v>
      </c>
      <c r="D21" s="399">
        <v>90700.0</v>
      </c>
      <c r="E21" s="390">
        <f t="shared" si="1"/>
        <v>0</v>
      </c>
      <c r="F21" s="387">
        <v>250.0</v>
      </c>
      <c r="G21" s="396"/>
      <c r="H21" s="374">
        <f t="shared" si="2"/>
        <v>250</v>
      </c>
      <c r="I21" s="373">
        <v>21700.0</v>
      </c>
      <c r="J21" s="388">
        <f t="shared" ref="J21:J22" si="15">10500+2200+9000</f>
        <v>21700</v>
      </c>
      <c r="K21" s="375">
        <f t="shared" si="13"/>
        <v>0</v>
      </c>
      <c r="L21" s="373">
        <v>11200.0</v>
      </c>
      <c r="M21" s="384">
        <f t="shared" ref="M21:M24" si="16">5000+200+6000</f>
        <v>11200</v>
      </c>
      <c r="N21" s="375">
        <f t="shared" si="5"/>
        <v>0</v>
      </c>
      <c r="P21" s="161">
        <v>12.0</v>
      </c>
      <c r="Q21" s="148" t="s">
        <v>28</v>
      </c>
      <c r="R21" s="391">
        <f t="shared" si="7"/>
        <v>229360</v>
      </c>
      <c r="S21" s="163">
        <f t="shared" si="14"/>
        <v>183660</v>
      </c>
      <c r="T21" s="164">
        <f t="shared" si="9"/>
        <v>45700</v>
      </c>
      <c r="U21" s="165">
        <f t="shared" si="10"/>
        <v>80.07499128</v>
      </c>
      <c r="V21" s="394"/>
    </row>
    <row r="22" ht="19.5" customHeight="1">
      <c r="A22" s="170">
        <v>17.0</v>
      </c>
      <c r="B22" s="148" t="s">
        <v>33</v>
      </c>
      <c r="C22" s="388">
        <v>116250.0</v>
      </c>
      <c r="D22" s="388">
        <v>116250.0</v>
      </c>
      <c r="E22" s="390">
        <f t="shared" si="1"/>
        <v>0</v>
      </c>
      <c r="F22" s="387">
        <v>1375.0</v>
      </c>
      <c r="G22" s="387">
        <v>1375.0</v>
      </c>
      <c r="H22" s="375">
        <f t="shared" si="2"/>
        <v>0</v>
      </c>
      <c r="I22" s="373">
        <v>21700.0</v>
      </c>
      <c r="J22" s="388">
        <f t="shared" si="15"/>
        <v>21700</v>
      </c>
      <c r="K22" s="375">
        <f t="shared" si="13"/>
        <v>0</v>
      </c>
      <c r="L22" s="373">
        <v>11200.0</v>
      </c>
      <c r="M22" s="384">
        <f t="shared" si="16"/>
        <v>11200</v>
      </c>
      <c r="N22" s="395">
        <f t="shared" si="5"/>
        <v>0</v>
      </c>
      <c r="P22" s="161">
        <v>13.0</v>
      </c>
      <c r="Q22" s="148" t="s">
        <v>29</v>
      </c>
      <c r="R22" s="391">
        <f t="shared" si="7"/>
        <v>94685</v>
      </c>
      <c r="S22" s="163">
        <f t="shared" si="14"/>
        <v>103775</v>
      </c>
      <c r="T22" s="164">
        <f t="shared" si="9"/>
        <v>-9090</v>
      </c>
      <c r="U22" s="165">
        <f t="shared" si="10"/>
        <v>109.6002535</v>
      </c>
      <c r="V22" s="392"/>
    </row>
    <row r="23" ht="19.5" customHeight="1">
      <c r="A23" s="170">
        <v>18.0</v>
      </c>
      <c r="B23" s="148" t="s">
        <v>34</v>
      </c>
      <c r="C23" s="388">
        <v>108350.0</v>
      </c>
      <c r="D23" s="389">
        <f>108350</f>
        <v>108350</v>
      </c>
      <c r="E23" s="390">
        <f t="shared" si="1"/>
        <v>0</v>
      </c>
      <c r="F23" s="387">
        <v>2025.0</v>
      </c>
      <c r="G23" s="387">
        <v>2025.0</v>
      </c>
      <c r="H23" s="375">
        <f t="shared" si="2"/>
        <v>0</v>
      </c>
      <c r="I23" s="373">
        <v>21700.0</v>
      </c>
      <c r="J23" s="388">
        <f>10500+2200+4500+4500</f>
        <v>21700</v>
      </c>
      <c r="K23" s="375">
        <f t="shared" si="13"/>
        <v>0</v>
      </c>
      <c r="L23" s="373">
        <v>11200.0</v>
      </c>
      <c r="M23" s="384">
        <f t="shared" si="16"/>
        <v>11200</v>
      </c>
      <c r="N23" s="375">
        <f t="shared" si="5"/>
        <v>0</v>
      </c>
      <c r="P23" s="161">
        <v>14.0</v>
      </c>
      <c r="Q23" s="148" t="s">
        <v>30</v>
      </c>
      <c r="R23" s="391">
        <f t="shared" si="7"/>
        <v>140750</v>
      </c>
      <c r="S23" s="163">
        <f t="shared" si="14"/>
        <v>162450</v>
      </c>
      <c r="T23" s="164">
        <f t="shared" si="9"/>
        <v>-21700</v>
      </c>
      <c r="U23" s="165">
        <f t="shared" si="10"/>
        <v>115.4174067</v>
      </c>
      <c r="V23" s="392"/>
      <c r="W23" s="394"/>
    </row>
    <row r="24" ht="19.5" customHeight="1">
      <c r="A24" s="170">
        <v>19.0</v>
      </c>
      <c r="B24" s="358" t="s">
        <v>35</v>
      </c>
      <c r="C24" s="388">
        <v>80425.0</v>
      </c>
      <c r="D24" s="389">
        <f>80425</f>
        <v>80425</v>
      </c>
      <c r="E24" s="390">
        <f t="shared" si="1"/>
        <v>0</v>
      </c>
      <c r="F24" s="387">
        <v>925.0</v>
      </c>
      <c r="G24" s="387">
        <v>925.0</v>
      </c>
      <c r="H24" s="375">
        <f t="shared" si="2"/>
        <v>0</v>
      </c>
      <c r="I24" s="373">
        <v>21700.0</v>
      </c>
      <c r="J24" s="388">
        <f>10500+2200+9000</f>
        <v>21700</v>
      </c>
      <c r="K24" s="375">
        <f t="shared" si="13"/>
        <v>0</v>
      </c>
      <c r="L24" s="373">
        <v>11200.0</v>
      </c>
      <c r="M24" s="384">
        <f t="shared" si="16"/>
        <v>11200</v>
      </c>
      <c r="N24" s="375">
        <f t="shared" si="5"/>
        <v>0</v>
      </c>
      <c r="P24" s="400">
        <v>15.0</v>
      </c>
      <c r="Q24" s="148" t="s">
        <v>31</v>
      </c>
      <c r="R24" s="391">
        <f t="shared" si="7"/>
        <v>174785</v>
      </c>
      <c r="S24" s="163">
        <f t="shared" si="14"/>
        <v>149885</v>
      </c>
      <c r="T24" s="164">
        <f t="shared" si="9"/>
        <v>24900</v>
      </c>
      <c r="U24" s="165">
        <f t="shared" si="10"/>
        <v>85.75392625</v>
      </c>
      <c r="V24" s="394"/>
    </row>
    <row r="25" ht="19.5" customHeight="1">
      <c r="A25" s="171"/>
      <c r="B25" s="21"/>
      <c r="C25" s="401">
        <f>SUM(C3:C24)</f>
        <v>3239900</v>
      </c>
      <c r="D25" s="401">
        <f t="shared" ref="D25:E25" si="17">SUM(D7:D24)</f>
        <v>3239900</v>
      </c>
      <c r="E25" s="401">
        <f t="shared" si="17"/>
        <v>0</v>
      </c>
      <c r="F25" s="401">
        <f>SUM(F2:F24)</f>
        <v>41875</v>
      </c>
      <c r="G25" s="401">
        <f>SUM(G3:G24)</f>
        <v>29675</v>
      </c>
      <c r="H25" s="402">
        <f t="shared" si="2"/>
        <v>12200</v>
      </c>
      <c r="I25" s="401">
        <f t="shared" ref="I25:K25" si="18">SUM(I3:I24)</f>
        <v>390600</v>
      </c>
      <c r="J25" s="401">
        <f t="shared" si="18"/>
        <v>369800</v>
      </c>
      <c r="K25" s="403">
        <f t="shared" si="18"/>
        <v>20800</v>
      </c>
      <c r="L25" s="401">
        <f>SUM(L7:L24)</f>
        <v>201600</v>
      </c>
      <c r="M25" s="401">
        <f>SUM(M3:M24)</f>
        <v>189000</v>
      </c>
      <c r="N25" s="402">
        <f t="shared" si="5"/>
        <v>12600</v>
      </c>
      <c r="P25" s="400">
        <v>16.0</v>
      </c>
      <c r="Q25" s="148" t="s">
        <v>32</v>
      </c>
      <c r="R25" s="391">
        <f t="shared" si="7"/>
        <v>205860</v>
      </c>
      <c r="S25" s="163">
        <f t="shared" si="14"/>
        <v>227310</v>
      </c>
      <c r="T25" s="164">
        <f t="shared" si="9"/>
        <v>-21450</v>
      </c>
      <c r="U25" s="165">
        <f t="shared" si="10"/>
        <v>110.4197027</v>
      </c>
      <c r="V25" s="394"/>
    </row>
    <row r="26" ht="19.5" customHeight="1">
      <c r="A26" s="348"/>
      <c r="B26" s="348"/>
      <c r="C26" s="348"/>
      <c r="D26" s="348"/>
      <c r="E26" s="348"/>
      <c r="F26" s="404"/>
      <c r="G26" s="348"/>
      <c r="H26" s="348"/>
      <c r="I26" s="348"/>
      <c r="J26" s="348"/>
      <c r="K26" s="348"/>
      <c r="L26" s="348"/>
      <c r="M26" s="348"/>
      <c r="N26" s="348"/>
      <c r="P26" s="400">
        <v>17.0</v>
      </c>
      <c r="Q26" s="148" t="s">
        <v>33</v>
      </c>
      <c r="R26" s="391">
        <f t="shared" si="7"/>
        <v>223335</v>
      </c>
      <c r="S26" s="163">
        <f t="shared" si="14"/>
        <v>257535</v>
      </c>
      <c r="T26" s="164">
        <f t="shared" si="9"/>
        <v>-34200</v>
      </c>
      <c r="U26" s="165">
        <f t="shared" si="10"/>
        <v>115.3133186</v>
      </c>
      <c r="V26" s="394"/>
    </row>
    <row r="27" ht="19.5" customHeight="1">
      <c r="A27" s="348"/>
      <c r="B27" s="348"/>
      <c r="C27" s="348"/>
      <c r="D27" s="348"/>
      <c r="E27" s="348"/>
      <c r="F27" s="404"/>
      <c r="G27" s="348"/>
      <c r="H27" s="348"/>
      <c r="I27" s="348"/>
      <c r="J27" s="348"/>
      <c r="K27" s="348"/>
      <c r="L27" s="348"/>
      <c r="M27" s="348"/>
      <c r="N27" s="348"/>
      <c r="P27" s="405">
        <v>19.0</v>
      </c>
      <c r="Q27" s="358" t="s">
        <v>35</v>
      </c>
      <c r="R27" s="391">
        <f t="shared" ref="R27:R28" si="19">SUM(C24+F24+L24+C51+F51+I51+L51+C79+F79+L79+C107)</f>
        <v>154260</v>
      </c>
      <c r="S27" s="163">
        <f t="shared" ref="S27:S28" si="20">SUM(D24+G24+J24+M24+D51+G51+J51+M51+D79+G79+J79+M79+D107)</f>
        <v>168460</v>
      </c>
      <c r="T27" s="164">
        <f t="shared" si="9"/>
        <v>-14200</v>
      </c>
      <c r="U27" s="165">
        <f t="shared" si="10"/>
        <v>109.2052379</v>
      </c>
      <c r="V27" s="394"/>
    </row>
    <row r="28" ht="19.5" customHeight="1">
      <c r="A28" s="131" t="s">
        <v>91</v>
      </c>
      <c r="P28" s="406" t="s">
        <v>36</v>
      </c>
      <c r="Q28" s="21"/>
      <c r="R28" s="391">
        <f t="shared" si="19"/>
        <v>4843875</v>
      </c>
      <c r="S28" s="163">
        <f t="shared" si="20"/>
        <v>5035075</v>
      </c>
      <c r="T28" s="164">
        <f t="shared" si="9"/>
        <v>-191200</v>
      </c>
      <c r="U28" s="165">
        <f t="shared" si="10"/>
        <v>103.947253</v>
      </c>
    </row>
    <row r="29" ht="19.5" customHeight="1">
      <c r="A29" s="131" t="s">
        <v>193</v>
      </c>
    </row>
    <row r="30" ht="52.5" customHeight="1">
      <c r="A30" s="359" t="s">
        <v>4</v>
      </c>
      <c r="B30" s="8"/>
      <c r="C30" s="360" t="s">
        <v>200</v>
      </c>
      <c r="D30" s="20"/>
      <c r="E30" s="21"/>
      <c r="F30" s="361" t="s">
        <v>201</v>
      </c>
      <c r="G30" s="20"/>
      <c r="H30" s="21"/>
      <c r="I30" s="360" t="s">
        <v>202</v>
      </c>
      <c r="J30" s="20"/>
      <c r="K30" s="21"/>
      <c r="L30" s="360" t="s">
        <v>203</v>
      </c>
      <c r="M30" s="20"/>
      <c r="N30" s="21"/>
    </row>
    <row r="31" ht="21.0" customHeight="1">
      <c r="A31" s="362"/>
      <c r="B31" s="13"/>
      <c r="C31" s="140" t="s">
        <v>198</v>
      </c>
      <c r="E31" s="13"/>
      <c r="F31" s="363" t="s">
        <v>198</v>
      </c>
      <c r="H31" s="13"/>
      <c r="I31" s="140" t="s">
        <v>198</v>
      </c>
      <c r="K31" s="13"/>
      <c r="L31" s="140" t="s">
        <v>198</v>
      </c>
      <c r="N31" s="13"/>
    </row>
    <row r="32" ht="19.5" customHeight="1">
      <c r="A32" s="14"/>
      <c r="B32" s="16"/>
      <c r="C32" s="144" t="s">
        <v>13</v>
      </c>
      <c r="D32" s="144" t="s">
        <v>14</v>
      </c>
      <c r="E32" s="144" t="s">
        <v>15</v>
      </c>
      <c r="F32" s="364" t="s">
        <v>13</v>
      </c>
      <c r="G32" s="144" t="s">
        <v>14</v>
      </c>
      <c r="H32" s="144" t="s">
        <v>15</v>
      </c>
      <c r="I32" s="144" t="s">
        <v>13</v>
      </c>
      <c r="J32" s="144" t="s">
        <v>14</v>
      </c>
      <c r="K32" s="144" t="s">
        <v>15</v>
      </c>
      <c r="L32" s="144" t="s">
        <v>13</v>
      </c>
      <c r="M32" s="144" t="s">
        <v>14</v>
      </c>
      <c r="N32" s="144" t="s">
        <v>15</v>
      </c>
    </row>
    <row r="33" ht="19.5" customHeight="1">
      <c r="A33" s="170">
        <v>1.0</v>
      </c>
      <c r="B33" s="365" t="s">
        <v>17</v>
      </c>
      <c r="C33" s="407"/>
      <c r="D33" s="407"/>
      <c r="E33" s="408"/>
      <c r="F33" s="373">
        <v>2100.0</v>
      </c>
      <c r="G33" s="409">
        <f>2100</f>
        <v>2100</v>
      </c>
      <c r="H33" s="410">
        <f t="shared" ref="H33:H51" si="21">F33-G33</f>
        <v>0</v>
      </c>
      <c r="I33" s="368"/>
      <c r="J33" s="409"/>
      <c r="K33" s="369"/>
      <c r="L33" s="368"/>
      <c r="M33" s="409"/>
      <c r="N33" s="370"/>
    </row>
    <row r="34" ht="19.5" customHeight="1">
      <c r="A34" s="170">
        <v>2.0</v>
      </c>
      <c r="B34" s="159" t="s">
        <v>18</v>
      </c>
      <c r="C34" s="411">
        <v>40000.0</v>
      </c>
      <c r="D34" s="411">
        <f>6450+5500</f>
        <v>11950</v>
      </c>
      <c r="E34" s="412">
        <f t="shared" ref="E34:E36" si="22">C34-D34</f>
        <v>28050</v>
      </c>
      <c r="F34" s="378">
        <v>2800.0</v>
      </c>
      <c r="G34" s="413">
        <f>2800</f>
        <v>2800</v>
      </c>
      <c r="H34" s="410">
        <f t="shared" si="21"/>
        <v>0</v>
      </c>
      <c r="I34" s="373"/>
      <c r="J34" s="413"/>
      <c r="K34" s="376"/>
      <c r="L34" s="373"/>
      <c r="M34" s="413"/>
      <c r="N34" s="414"/>
    </row>
    <row r="35" ht="19.5" customHeight="1">
      <c r="A35" s="170">
        <v>3.0</v>
      </c>
      <c r="B35" s="148" t="s">
        <v>19</v>
      </c>
      <c r="C35" s="411">
        <v>40000.0</v>
      </c>
      <c r="D35" s="411">
        <f>6450+5500+1115+12335+13625+975</f>
        <v>40000</v>
      </c>
      <c r="E35" s="415">
        <f t="shared" si="22"/>
        <v>0</v>
      </c>
      <c r="F35" s="416">
        <v>900.0</v>
      </c>
      <c r="G35" s="417">
        <f>900</f>
        <v>900</v>
      </c>
      <c r="H35" s="410">
        <f t="shared" si="21"/>
        <v>0</v>
      </c>
      <c r="I35" s="373">
        <v>22000.0</v>
      </c>
      <c r="J35" s="417"/>
      <c r="K35" s="374">
        <f>I35-J35</f>
        <v>22000</v>
      </c>
      <c r="L35" s="373"/>
      <c r="M35" s="417"/>
      <c r="N35" s="414"/>
    </row>
    <row r="36" ht="19.5" customHeight="1">
      <c r="A36" s="170">
        <v>4.0</v>
      </c>
      <c r="B36" s="148" t="s">
        <v>20</v>
      </c>
      <c r="C36" s="411">
        <v>40000.0</v>
      </c>
      <c r="D36" s="418">
        <f>23785+1540+7415+7260</f>
        <v>40000</v>
      </c>
      <c r="E36" s="419">
        <f t="shared" si="22"/>
        <v>0</v>
      </c>
      <c r="F36" s="384">
        <v>3300.0</v>
      </c>
      <c r="G36" s="420">
        <f>3300</f>
        <v>3300</v>
      </c>
      <c r="H36" s="410">
        <f t="shared" si="21"/>
        <v>0</v>
      </c>
      <c r="I36" s="373"/>
      <c r="J36" s="420"/>
      <c r="K36" s="376"/>
      <c r="L36" s="373"/>
      <c r="M36" s="420"/>
      <c r="N36" s="376"/>
    </row>
    <row r="37" ht="19.5" customHeight="1">
      <c r="A37" s="170">
        <v>5.0</v>
      </c>
      <c r="B37" s="148" t="s">
        <v>21</v>
      </c>
      <c r="C37" s="418"/>
      <c r="D37" s="421"/>
      <c r="E37" s="422"/>
      <c r="F37" s="387">
        <v>1800.0</v>
      </c>
      <c r="G37" s="423">
        <f>1800</f>
        <v>1800</v>
      </c>
      <c r="H37" s="410">
        <f t="shared" si="21"/>
        <v>0</v>
      </c>
      <c r="I37" s="373">
        <v>22000.0</v>
      </c>
      <c r="J37" s="386">
        <f>22000</f>
        <v>22000</v>
      </c>
      <c r="K37" s="375">
        <f>I37-J37</f>
        <v>0</v>
      </c>
      <c r="L37" s="373"/>
      <c r="M37" s="420"/>
      <c r="N37" s="376"/>
      <c r="P37" s="394" t="s">
        <v>176</v>
      </c>
    </row>
    <row r="38" ht="19.5" customHeight="1">
      <c r="A38" s="170">
        <v>6.0</v>
      </c>
      <c r="B38" s="148" t="s">
        <v>22</v>
      </c>
      <c r="C38" s="424"/>
      <c r="D38" s="425"/>
      <c r="E38" s="422"/>
      <c r="F38" s="387">
        <v>900.0</v>
      </c>
      <c r="G38" s="423">
        <f t="shared" ref="G38:G39" si="23">900</f>
        <v>900</v>
      </c>
      <c r="H38" s="410">
        <f t="shared" si="21"/>
        <v>0</v>
      </c>
      <c r="I38" s="373"/>
      <c r="J38" s="389"/>
      <c r="K38" s="376"/>
      <c r="L38" s="373"/>
      <c r="M38" s="420"/>
      <c r="N38" s="376"/>
    </row>
    <row r="39" ht="19.5" customHeight="1">
      <c r="A39" s="170">
        <v>7.0</v>
      </c>
      <c r="B39" s="148" t="s">
        <v>23</v>
      </c>
      <c r="C39" s="424"/>
      <c r="D39" s="425"/>
      <c r="E39" s="422"/>
      <c r="F39" s="387">
        <v>900.0</v>
      </c>
      <c r="G39" s="423">
        <f t="shared" si="23"/>
        <v>900</v>
      </c>
      <c r="H39" s="410">
        <f t="shared" si="21"/>
        <v>0</v>
      </c>
      <c r="I39" s="373">
        <v>22000.0</v>
      </c>
      <c r="J39" s="389">
        <f>22000</f>
        <v>22000</v>
      </c>
      <c r="K39" s="375">
        <f>I39-J39</f>
        <v>0</v>
      </c>
      <c r="L39" s="373"/>
      <c r="M39" s="420"/>
      <c r="N39" s="376"/>
    </row>
    <row r="40" ht="19.5" customHeight="1">
      <c r="A40" s="170">
        <v>8.0</v>
      </c>
      <c r="B40" s="148" t="s">
        <v>24</v>
      </c>
      <c r="C40" s="411">
        <v>40000.0</v>
      </c>
      <c r="D40" s="425">
        <f>6450+5500+14500+13550</f>
        <v>40000</v>
      </c>
      <c r="E40" s="415">
        <f>C40-D40</f>
        <v>0</v>
      </c>
      <c r="F40" s="387">
        <v>1800.0</v>
      </c>
      <c r="G40" s="423">
        <f>1800</f>
        <v>1800</v>
      </c>
      <c r="H40" s="410">
        <f t="shared" si="21"/>
        <v>0</v>
      </c>
      <c r="I40" s="373"/>
      <c r="J40" s="389"/>
      <c r="K40" s="376"/>
      <c r="L40" s="373"/>
      <c r="M40" s="420"/>
      <c r="N40" s="376"/>
    </row>
    <row r="41" ht="19.5" customHeight="1">
      <c r="A41" s="170">
        <v>9.0</v>
      </c>
      <c r="B41" s="148" t="s">
        <v>25</v>
      </c>
      <c r="C41" s="424"/>
      <c r="D41" s="424"/>
      <c r="E41" s="422"/>
      <c r="F41" s="387">
        <v>900.0</v>
      </c>
      <c r="G41" s="423">
        <f t="shared" ref="G41:G42" si="24">900</f>
        <v>900</v>
      </c>
      <c r="H41" s="410">
        <f t="shared" si="21"/>
        <v>0</v>
      </c>
      <c r="I41" s="373"/>
      <c r="J41" s="389"/>
      <c r="K41" s="376"/>
      <c r="L41" s="373"/>
      <c r="M41" s="420"/>
      <c r="N41" s="376"/>
    </row>
    <row r="42" ht="19.5" customHeight="1">
      <c r="A42" s="170">
        <v>10.0</v>
      </c>
      <c r="B42" s="148" t="s">
        <v>26</v>
      </c>
      <c r="C42" s="424"/>
      <c r="D42" s="425"/>
      <c r="E42" s="422"/>
      <c r="F42" s="387">
        <v>900.0</v>
      </c>
      <c r="G42" s="423">
        <f t="shared" si="24"/>
        <v>900</v>
      </c>
      <c r="H42" s="410">
        <f t="shared" si="21"/>
        <v>0</v>
      </c>
      <c r="I42" s="373"/>
      <c r="J42" s="388" t="s">
        <v>176</v>
      </c>
      <c r="K42" s="376"/>
      <c r="L42" s="373">
        <v>20000.0</v>
      </c>
      <c r="M42" s="420">
        <f>20000</f>
        <v>20000</v>
      </c>
      <c r="N42" s="375">
        <f t="shared" ref="N42:N44" si="25">L42-M42</f>
        <v>0</v>
      </c>
      <c r="P42" s="426"/>
      <c r="Q42" s="426"/>
    </row>
    <row r="43" ht="19.5" customHeight="1">
      <c r="A43" s="170">
        <v>11.0</v>
      </c>
      <c r="B43" s="148" t="s">
        <v>27</v>
      </c>
      <c r="C43" s="411">
        <v>40000.0</v>
      </c>
      <c r="D43" s="427">
        <f>6450+6700</f>
        <v>13150</v>
      </c>
      <c r="E43" s="412">
        <f t="shared" ref="E43:E44" si="26">C43-D43</f>
        <v>26850</v>
      </c>
      <c r="F43" s="387">
        <v>900.0</v>
      </c>
      <c r="G43" s="423"/>
      <c r="H43" s="428">
        <f t="shared" si="21"/>
        <v>900</v>
      </c>
      <c r="I43" s="373"/>
      <c r="J43" s="389"/>
      <c r="K43" s="376"/>
      <c r="L43" s="373">
        <v>20000.0</v>
      </c>
      <c r="M43" s="420"/>
      <c r="N43" s="374">
        <f t="shared" si="25"/>
        <v>20000</v>
      </c>
      <c r="P43" s="426"/>
      <c r="Q43" s="426"/>
      <c r="S43" s="202"/>
    </row>
    <row r="44" ht="19.5" customHeight="1">
      <c r="A44" s="170">
        <v>12.0</v>
      </c>
      <c r="B44" s="148" t="s">
        <v>28</v>
      </c>
      <c r="C44" s="411">
        <v>40000.0</v>
      </c>
      <c r="D44" s="424">
        <f>5880+6070</f>
        <v>11950</v>
      </c>
      <c r="E44" s="412">
        <f t="shared" si="26"/>
        <v>28050</v>
      </c>
      <c r="F44" s="387">
        <v>1800.0</v>
      </c>
      <c r="G44" s="423"/>
      <c r="H44" s="428">
        <f t="shared" si="21"/>
        <v>1800</v>
      </c>
      <c r="I44" s="373"/>
      <c r="J44" s="389"/>
      <c r="K44" s="376"/>
      <c r="L44" s="373">
        <v>20000.0</v>
      </c>
      <c r="M44" s="420"/>
      <c r="N44" s="374">
        <f t="shared" si="25"/>
        <v>20000</v>
      </c>
      <c r="P44" s="426"/>
      <c r="Q44" s="426"/>
      <c r="S44" s="202"/>
    </row>
    <row r="45" ht="19.5" customHeight="1">
      <c r="A45" s="170">
        <v>13.0</v>
      </c>
      <c r="B45" s="148" t="s">
        <v>29</v>
      </c>
      <c r="C45" s="424"/>
      <c r="D45" s="425"/>
      <c r="E45" s="422"/>
      <c r="F45" s="387">
        <v>900.0</v>
      </c>
      <c r="G45" s="423"/>
      <c r="H45" s="428">
        <f t="shared" si="21"/>
        <v>900</v>
      </c>
      <c r="I45" s="373"/>
      <c r="J45" s="389"/>
      <c r="K45" s="376"/>
      <c r="L45" s="373"/>
      <c r="M45" s="420"/>
      <c r="N45" s="376"/>
      <c r="P45" s="426"/>
      <c r="Q45" s="426"/>
      <c r="S45" s="202"/>
    </row>
    <row r="46" ht="19.5" customHeight="1">
      <c r="A46" s="170">
        <v>14.0</v>
      </c>
      <c r="B46" s="148" t="s">
        <v>30</v>
      </c>
      <c r="C46" s="424"/>
      <c r="D46" s="425"/>
      <c r="E46" s="422"/>
      <c r="F46" s="387">
        <v>900.0</v>
      </c>
      <c r="G46" s="423">
        <f>900</f>
        <v>900</v>
      </c>
      <c r="H46" s="410">
        <f t="shared" si="21"/>
        <v>0</v>
      </c>
      <c r="I46" s="373"/>
      <c r="J46" s="389"/>
      <c r="K46" s="376"/>
      <c r="L46" s="373"/>
      <c r="M46" s="420"/>
      <c r="N46" s="376"/>
      <c r="P46" s="426"/>
      <c r="Q46" s="426"/>
      <c r="S46" s="202"/>
    </row>
    <row r="47" ht="19.5" customHeight="1">
      <c r="A47" s="170">
        <v>15.0</v>
      </c>
      <c r="B47" s="148" t="s">
        <v>31</v>
      </c>
      <c r="C47" s="424"/>
      <c r="D47" s="425"/>
      <c r="E47" s="422"/>
      <c r="F47" s="387">
        <v>1800.0</v>
      </c>
      <c r="G47" s="423"/>
      <c r="H47" s="428">
        <f t="shared" si="21"/>
        <v>1800</v>
      </c>
      <c r="I47" s="373">
        <v>22000.0</v>
      </c>
      <c r="J47" s="389"/>
      <c r="K47" s="374">
        <f t="shared" ref="K47:K48" si="27">I47-J47</f>
        <v>22000</v>
      </c>
      <c r="L47" s="373"/>
      <c r="M47" s="420"/>
      <c r="N47" s="376"/>
      <c r="P47" s="426"/>
      <c r="Q47" s="426"/>
      <c r="R47" s="394" t="s">
        <v>204</v>
      </c>
    </row>
    <row r="48" ht="19.5" customHeight="1">
      <c r="A48" s="170">
        <v>16.0</v>
      </c>
      <c r="B48" s="148" t="s">
        <v>32</v>
      </c>
      <c r="C48" s="411">
        <v>40000.0</v>
      </c>
      <c r="D48" s="429">
        <f>5880+6070+13605+325+13820+300</f>
        <v>40000</v>
      </c>
      <c r="E48" s="415">
        <f t="shared" ref="E48:E50" si="28">C48-D48</f>
        <v>0</v>
      </c>
      <c r="F48" s="387">
        <v>2800.0</v>
      </c>
      <c r="G48" s="423">
        <f>2800</f>
        <v>2800</v>
      </c>
      <c r="H48" s="410">
        <f t="shared" si="21"/>
        <v>0</v>
      </c>
      <c r="I48" s="373">
        <v>22000.0</v>
      </c>
      <c r="J48" s="389">
        <f>22000</f>
        <v>22000</v>
      </c>
      <c r="K48" s="375">
        <f t="shared" si="27"/>
        <v>0</v>
      </c>
      <c r="L48" s="373"/>
      <c r="M48" s="420"/>
      <c r="N48" s="376"/>
      <c r="P48" s="426"/>
      <c r="Q48" s="426"/>
    </row>
    <row r="49" ht="19.5" customHeight="1">
      <c r="A49" s="170">
        <v>17.0</v>
      </c>
      <c r="B49" s="148" t="s">
        <v>33</v>
      </c>
      <c r="C49" s="411">
        <v>40000.0</v>
      </c>
      <c r="D49" s="424">
        <f>7680+7870+10770+10625+1505+1550</f>
        <v>40000</v>
      </c>
      <c r="E49" s="415">
        <f t="shared" si="28"/>
        <v>0</v>
      </c>
      <c r="F49" s="387">
        <v>900.0</v>
      </c>
      <c r="G49" s="423">
        <f t="shared" ref="G49:G50" si="29">900</f>
        <v>900</v>
      </c>
      <c r="H49" s="410">
        <f t="shared" si="21"/>
        <v>0</v>
      </c>
      <c r="I49" s="373"/>
      <c r="J49" s="389"/>
      <c r="K49" s="376"/>
      <c r="L49" s="373"/>
      <c r="M49" s="420"/>
      <c r="N49" s="376"/>
      <c r="P49" s="426"/>
      <c r="Q49" s="430"/>
    </row>
    <row r="50" ht="19.5" customHeight="1">
      <c r="A50" s="170">
        <v>18.0</v>
      </c>
      <c r="B50" s="148" t="s">
        <v>34</v>
      </c>
      <c r="C50" s="411">
        <v>40000.0</v>
      </c>
      <c r="D50" s="425">
        <f>4680+4870+15320+15130</f>
        <v>40000</v>
      </c>
      <c r="E50" s="415">
        <f t="shared" si="28"/>
        <v>0</v>
      </c>
      <c r="F50" s="387">
        <v>900.0</v>
      </c>
      <c r="G50" s="423">
        <f t="shared" si="29"/>
        <v>900</v>
      </c>
      <c r="H50" s="410">
        <f t="shared" si="21"/>
        <v>0</v>
      </c>
      <c r="I50" s="373"/>
      <c r="J50" s="389"/>
      <c r="K50" s="376"/>
      <c r="L50" s="373"/>
      <c r="M50" s="420"/>
      <c r="N50" s="376"/>
      <c r="P50" s="426"/>
      <c r="Q50" s="430"/>
    </row>
    <row r="51" ht="19.5" customHeight="1">
      <c r="A51" s="170">
        <v>19.0</v>
      </c>
      <c r="B51" s="358" t="s">
        <v>35</v>
      </c>
      <c r="C51" s="424"/>
      <c r="D51" s="425"/>
      <c r="E51" s="422"/>
      <c r="F51" s="387">
        <v>2800.0</v>
      </c>
      <c r="G51" s="423">
        <f>2800</f>
        <v>2800</v>
      </c>
      <c r="H51" s="410">
        <f t="shared" si="21"/>
        <v>0</v>
      </c>
      <c r="I51" s="373"/>
      <c r="J51" s="389"/>
      <c r="K51" s="376"/>
      <c r="L51" s="373">
        <v>20000.0</v>
      </c>
      <c r="M51" s="420"/>
      <c r="N51" s="374">
        <f>L51-M51</f>
        <v>20000</v>
      </c>
      <c r="P51" s="426"/>
      <c r="Q51" s="430"/>
    </row>
    <row r="52" ht="19.5" customHeight="1">
      <c r="A52" s="171"/>
      <c r="B52" s="21"/>
      <c r="C52" s="401">
        <f>SUM(C34:C51)</f>
        <v>360000</v>
      </c>
      <c r="D52" s="401">
        <f>SUM(D33:D51)</f>
        <v>277050</v>
      </c>
      <c r="E52" s="431">
        <f>C52-D52</f>
        <v>82950</v>
      </c>
      <c r="F52" s="401">
        <f t="shared" ref="F52:G52" si="30">SUM(F33:F51)</f>
        <v>30000</v>
      </c>
      <c r="G52" s="401">
        <f t="shared" si="30"/>
        <v>24600</v>
      </c>
      <c r="H52" s="432">
        <f>SUM(H30:H51)</f>
        <v>5400</v>
      </c>
      <c r="I52" s="401">
        <f t="shared" ref="I52:N52" si="31">SUM(I33:I51)</f>
        <v>110000</v>
      </c>
      <c r="J52" s="401">
        <f t="shared" si="31"/>
        <v>66000</v>
      </c>
      <c r="K52" s="403">
        <f t="shared" si="31"/>
        <v>44000</v>
      </c>
      <c r="L52" s="401">
        <f t="shared" si="31"/>
        <v>80000</v>
      </c>
      <c r="M52" s="401">
        <f t="shared" si="31"/>
        <v>20000</v>
      </c>
      <c r="N52" s="402">
        <f t="shared" si="31"/>
        <v>60000</v>
      </c>
      <c r="P52" s="426"/>
      <c r="Q52" s="430"/>
    </row>
    <row r="53" ht="19.5" customHeight="1">
      <c r="A53" s="348"/>
      <c r="B53" s="348"/>
      <c r="C53" s="348"/>
      <c r="D53" s="348"/>
      <c r="E53" s="348"/>
      <c r="F53" s="404"/>
      <c r="G53" s="348"/>
      <c r="H53" s="348"/>
      <c r="I53" s="348"/>
      <c r="J53" s="348"/>
      <c r="K53" s="348"/>
      <c r="L53" s="348"/>
      <c r="M53" s="348"/>
      <c r="N53" s="348"/>
      <c r="P53" s="426"/>
      <c r="Q53" s="430"/>
    </row>
    <row r="54" ht="19.5" customHeight="1">
      <c r="A54" s="348"/>
      <c r="B54" s="348"/>
      <c r="C54" s="348"/>
      <c r="D54" s="348"/>
      <c r="E54" s="348"/>
      <c r="F54" s="404"/>
      <c r="G54" s="348"/>
      <c r="H54" s="348"/>
      <c r="I54" s="348"/>
      <c r="J54" s="348"/>
      <c r="K54" s="348"/>
      <c r="L54" s="348"/>
      <c r="M54" s="348"/>
      <c r="N54" s="348"/>
      <c r="P54" s="426"/>
      <c r="Q54" s="430"/>
    </row>
    <row r="55" ht="19.5" customHeight="1">
      <c r="A55" s="131" t="s">
        <v>91</v>
      </c>
    </row>
    <row r="56" ht="19.5" customHeight="1">
      <c r="A56" s="131" t="s">
        <v>193</v>
      </c>
    </row>
    <row r="57" ht="19.5" customHeight="1">
      <c r="A57" s="133" t="s">
        <v>4</v>
      </c>
      <c r="B57" s="133" t="s">
        <v>5</v>
      </c>
      <c r="C57" s="250" t="s">
        <v>205</v>
      </c>
      <c r="D57" s="7"/>
      <c r="E57" s="8"/>
      <c r="F57" s="433" t="s">
        <v>206</v>
      </c>
      <c r="G57" s="7"/>
      <c r="H57" s="8"/>
      <c r="I57" s="250" t="s">
        <v>207</v>
      </c>
      <c r="J57" s="7"/>
      <c r="K57" s="8"/>
      <c r="L57" s="250" t="s">
        <v>208</v>
      </c>
      <c r="M57" s="7"/>
      <c r="N57" s="8"/>
    </row>
    <row r="58" ht="19.5" customHeight="1">
      <c r="A58" s="12"/>
      <c r="B58" s="12"/>
      <c r="C58" s="14"/>
      <c r="D58" s="15"/>
      <c r="E58" s="16"/>
      <c r="F58" s="14"/>
      <c r="G58" s="15"/>
      <c r="H58" s="16"/>
      <c r="I58" s="14"/>
      <c r="J58" s="15"/>
      <c r="K58" s="16"/>
      <c r="L58" s="14"/>
      <c r="M58" s="15"/>
      <c r="N58" s="16"/>
    </row>
    <row r="59" ht="19.5" customHeight="1">
      <c r="A59" s="12"/>
      <c r="B59" s="12"/>
      <c r="C59" s="354" t="s">
        <v>198</v>
      </c>
      <c r="D59" s="20"/>
      <c r="E59" s="21"/>
      <c r="F59" s="434" t="s">
        <v>198</v>
      </c>
      <c r="G59" s="20"/>
      <c r="H59" s="21"/>
      <c r="I59" s="354" t="s">
        <v>198</v>
      </c>
      <c r="J59" s="20"/>
      <c r="K59" s="21"/>
      <c r="L59" s="435" t="s">
        <v>198</v>
      </c>
      <c r="M59" s="20"/>
      <c r="N59" s="21"/>
    </row>
    <row r="60" ht="19.5" customHeight="1">
      <c r="A60" s="22"/>
      <c r="B60" s="22"/>
      <c r="C60" s="144" t="s">
        <v>13</v>
      </c>
      <c r="D60" s="144" t="s">
        <v>14</v>
      </c>
      <c r="E60" s="144" t="s">
        <v>15</v>
      </c>
      <c r="F60" s="364" t="s">
        <v>13</v>
      </c>
      <c r="G60" s="144" t="s">
        <v>14</v>
      </c>
      <c r="H60" s="144" t="s">
        <v>15</v>
      </c>
      <c r="I60" s="144" t="s">
        <v>13</v>
      </c>
      <c r="J60" s="144" t="s">
        <v>14</v>
      </c>
      <c r="K60" s="144" t="s">
        <v>15</v>
      </c>
      <c r="L60" s="144" t="s">
        <v>13</v>
      </c>
      <c r="M60" s="144" t="s">
        <v>14</v>
      </c>
      <c r="N60" s="144" t="s">
        <v>15</v>
      </c>
    </row>
    <row r="61" ht="19.5" customHeight="1">
      <c r="A61" s="147">
        <v>1.0</v>
      </c>
      <c r="B61" s="148" t="s">
        <v>17</v>
      </c>
      <c r="C61" s="259"/>
      <c r="D61" s="259"/>
      <c r="E61" s="199"/>
      <c r="F61" s="420"/>
      <c r="G61" s="436"/>
      <c r="H61" s="199"/>
      <c r="I61" s="436"/>
      <c r="J61" s="436"/>
      <c r="K61" s="199"/>
      <c r="L61" s="436"/>
      <c r="M61" s="436"/>
      <c r="N61" s="199">
        <f t="shared" ref="N61:N80" si="32">L61-M61</f>
        <v>0</v>
      </c>
    </row>
    <row r="62" ht="19.5" customHeight="1">
      <c r="A62" s="147">
        <v>2.0</v>
      </c>
      <c r="B62" s="159" t="s">
        <v>18</v>
      </c>
      <c r="C62" s="427">
        <v>36000.0</v>
      </c>
      <c r="D62" s="427">
        <f>5030+970</f>
        <v>6000</v>
      </c>
      <c r="E62" s="169">
        <f>C62-D62</f>
        <v>30000</v>
      </c>
      <c r="F62" s="437">
        <v>4860.0</v>
      </c>
      <c r="G62" s="289">
        <f>1440+3420</f>
        <v>4860</v>
      </c>
      <c r="H62" s="438">
        <f t="shared" ref="H62:H73" si="33">F62-G62</f>
        <v>0</v>
      </c>
      <c r="I62" s="304">
        <v>50000.0</v>
      </c>
      <c r="J62" s="258"/>
      <c r="K62" s="357">
        <f>I62-J62</f>
        <v>50000</v>
      </c>
      <c r="L62" s="254">
        <v>19350.0</v>
      </c>
      <c r="M62" s="289">
        <f>6900+3150+9300</f>
        <v>19350</v>
      </c>
      <c r="N62" s="207">
        <f t="shared" si="32"/>
        <v>0</v>
      </c>
    </row>
    <row r="63" ht="19.5" customHeight="1">
      <c r="A63" s="147">
        <v>3.0</v>
      </c>
      <c r="B63" s="148" t="s">
        <v>19</v>
      </c>
      <c r="C63" s="259"/>
      <c r="D63" s="259"/>
      <c r="E63" s="259"/>
      <c r="F63" s="437">
        <v>4860.0</v>
      </c>
      <c r="G63" s="254">
        <f t="shared" ref="G63:G64" si="34">3420+1440</f>
        <v>4860</v>
      </c>
      <c r="H63" s="438">
        <f t="shared" si="33"/>
        <v>0</v>
      </c>
      <c r="I63" s="258"/>
      <c r="J63" s="258"/>
      <c r="K63" s="259"/>
      <c r="L63" s="254">
        <v>19350.0</v>
      </c>
      <c r="M63" s="254">
        <f>9300+3150+3900</f>
        <v>16350</v>
      </c>
      <c r="N63" s="169">
        <f t="shared" si="32"/>
        <v>3000</v>
      </c>
    </row>
    <row r="64" ht="19.5" customHeight="1">
      <c r="A64" s="147">
        <v>4.0</v>
      </c>
      <c r="B64" s="148" t="s">
        <v>20</v>
      </c>
      <c r="C64" s="259"/>
      <c r="D64" s="259"/>
      <c r="E64" s="259"/>
      <c r="F64" s="437">
        <v>4860.0</v>
      </c>
      <c r="G64" s="254">
        <f t="shared" si="34"/>
        <v>4860</v>
      </c>
      <c r="H64" s="438">
        <f t="shared" si="33"/>
        <v>0</v>
      </c>
      <c r="I64" s="304">
        <v>37500.0</v>
      </c>
      <c r="J64" s="258">
        <f>37500</f>
        <v>37500</v>
      </c>
      <c r="K64" s="153">
        <f>I64-J64</f>
        <v>0</v>
      </c>
      <c r="L64" s="254">
        <v>19350.0</v>
      </c>
      <c r="M64" s="254">
        <f t="shared" ref="M64:M66" si="35">9300+6900+3150</f>
        <v>19350</v>
      </c>
      <c r="N64" s="153">
        <f t="shared" si="32"/>
        <v>0</v>
      </c>
    </row>
    <row r="65" ht="19.5" customHeight="1">
      <c r="A65" s="147">
        <v>5.0</v>
      </c>
      <c r="B65" s="148" t="s">
        <v>21</v>
      </c>
      <c r="C65" s="259"/>
      <c r="D65" s="259"/>
      <c r="E65" s="259"/>
      <c r="F65" s="437">
        <v>9740.0</v>
      </c>
      <c r="G65" s="254">
        <f>6840+2900</f>
        <v>9740</v>
      </c>
      <c r="H65" s="438">
        <f t="shared" si="33"/>
        <v>0</v>
      </c>
      <c r="I65" s="258"/>
      <c r="J65" s="258"/>
      <c r="K65" s="259"/>
      <c r="L65" s="254">
        <v>19350.0</v>
      </c>
      <c r="M65" s="254">
        <f t="shared" si="35"/>
        <v>19350</v>
      </c>
      <c r="N65" s="153">
        <f t="shared" si="32"/>
        <v>0</v>
      </c>
    </row>
    <row r="66" ht="19.5" customHeight="1">
      <c r="A66" s="147">
        <v>6.0</v>
      </c>
      <c r="B66" s="148" t="s">
        <v>22</v>
      </c>
      <c r="C66" s="259"/>
      <c r="D66" s="259"/>
      <c r="E66" s="259"/>
      <c r="F66" s="437">
        <v>4860.0</v>
      </c>
      <c r="G66" s="254">
        <f t="shared" ref="G66:G70" si="36">3420+1440</f>
        <v>4860</v>
      </c>
      <c r="H66" s="438">
        <f t="shared" si="33"/>
        <v>0</v>
      </c>
      <c r="I66" s="304">
        <v>25000.0</v>
      </c>
      <c r="J66" s="304">
        <f>7000+18000</f>
        <v>25000</v>
      </c>
      <c r="K66" s="153">
        <f t="shared" ref="K66:K72" si="37">I66-J66</f>
        <v>0</v>
      </c>
      <c r="L66" s="254">
        <v>19350.0</v>
      </c>
      <c r="M66" s="254">
        <f t="shared" si="35"/>
        <v>19350</v>
      </c>
      <c r="N66" s="153">
        <f t="shared" si="32"/>
        <v>0</v>
      </c>
    </row>
    <row r="67" ht="19.5" customHeight="1">
      <c r="A67" s="147">
        <v>7.0</v>
      </c>
      <c r="B67" s="148" t="s">
        <v>23</v>
      </c>
      <c r="C67" s="259"/>
      <c r="D67" s="259"/>
      <c r="E67" s="259"/>
      <c r="F67" s="437">
        <v>4860.0</v>
      </c>
      <c r="G67" s="254">
        <f t="shared" si="36"/>
        <v>4860</v>
      </c>
      <c r="H67" s="438">
        <f t="shared" si="33"/>
        <v>0</v>
      </c>
      <c r="I67" s="304">
        <v>12500.0</v>
      </c>
      <c r="J67" s="258">
        <f>12500</f>
        <v>12500</v>
      </c>
      <c r="K67" s="153">
        <f t="shared" si="37"/>
        <v>0</v>
      </c>
      <c r="L67" s="254">
        <v>19350.0</v>
      </c>
      <c r="M67" s="254">
        <f>9300+3150+6900</f>
        <v>19350</v>
      </c>
      <c r="N67" s="153">
        <f t="shared" si="32"/>
        <v>0</v>
      </c>
      <c r="Q67" s="439" t="s">
        <v>209</v>
      </c>
    </row>
    <row r="68" ht="19.5" customHeight="1">
      <c r="A68" s="147">
        <v>8.0</v>
      </c>
      <c r="B68" s="148" t="s">
        <v>24</v>
      </c>
      <c r="C68" s="259"/>
      <c r="D68" s="259"/>
      <c r="E68" s="259"/>
      <c r="F68" s="437">
        <v>4860.0</v>
      </c>
      <c r="G68" s="254">
        <f t="shared" si="36"/>
        <v>4860</v>
      </c>
      <c r="H68" s="438">
        <f t="shared" si="33"/>
        <v>0</v>
      </c>
      <c r="I68" s="304">
        <v>25000.0</v>
      </c>
      <c r="J68" s="258"/>
      <c r="K68" s="357">
        <f t="shared" si="37"/>
        <v>25000</v>
      </c>
      <c r="L68" s="254">
        <v>19350.0</v>
      </c>
      <c r="M68" s="254">
        <f>9300+2400+3150+1500+1500+1500</f>
        <v>19350</v>
      </c>
      <c r="N68" s="153">
        <f t="shared" si="32"/>
        <v>0</v>
      </c>
      <c r="Q68" s="439" t="s">
        <v>210</v>
      </c>
    </row>
    <row r="69" ht="19.5" customHeight="1">
      <c r="A69" s="147">
        <v>9.0</v>
      </c>
      <c r="B69" s="148" t="s">
        <v>25</v>
      </c>
      <c r="C69" s="259"/>
      <c r="D69" s="259"/>
      <c r="E69" s="149"/>
      <c r="F69" s="437">
        <v>4860.0</v>
      </c>
      <c r="G69" s="254">
        <f t="shared" si="36"/>
        <v>4860</v>
      </c>
      <c r="H69" s="438">
        <f t="shared" si="33"/>
        <v>0</v>
      </c>
      <c r="I69" s="304">
        <v>12500.0</v>
      </c>
      <c r="J69" s="258"/>
      <c r="K69" s="357">
        <f t="shared" si="37"/>
        <v>12500</v>
      </c>
      <c r="L69" s="254">
        <v>19350.0</v>
      </c>
      <c r="M69" s="254">
        <f>9300+3150+2400+4500</f>
        <v>19350</v>
      </c>
      <c r="N69" s="153">
        <f t="shared" si="32"/>
        <v>0</v>
      </c>
      <c r="Q69" s="439" t="s">
        <v>211</v>
      </c>
    </row>
    <row r="70" ht="19.5" customHeight="1">
      <c r="A70" s="147">
        <v>10.0</v>
      </c>
      <c r="B70" s="148" t="s">
        <v>26</v>
      </c>
      <c r="C70" s="259"/>
      <c r="D70" s="259"/>
      <c r="E70" s="149"/>
      <c r="F70" s="437">
        <v>4860.0</v>
      </c>
      <c r="G70" s="254">
        <f t="shared" si="36"/>
        <v>4860</v>
      </c>
      <c r="H70" s="438">
        <f t="shared" si="33"/>
        <v>0</v>
      </c>
      <c r="I70" s="304">
        <v>12500.0</v>
      </c>
      <c r="J70" s="258">
        <f>12500</f>
        <v>12500</v>
      </c>
      <c r="K70" s="153">
        <f t="shared" si="37"/>
        <v>0</v>
      </c>
      <c r="L70" s="254">
        <v>19350.0</v>
      </c>
      <c r="M70" s="254">
        <f>9300+2400+3150+4500</f>
        <v>19350</v>
      </c>
      <c r="N70" s="153">
        <f t="shared" si="32"/>
        <v>0</v>
      </c>
    </row>
    <row r="71" ht="19.5" customHeight="1">
      <c r="A71" s="147">
        <v>11.0</v>
      </c>
      <c r="B71" s="148" t="s">
        <v>27</v>
      </c>
      <c r="C71" s="259"/>
      <c r="D71" s="259"/>
      <c r="E71" s="149"/>
      <c r="F71" s="437">
        <v>4860.0</v>
      </c>
      <c r="G71" s="440">
        <v>3420.0</v>
      </c>
      <c r="H71" s="441">
        <f t="shared" si="33"/>
        <v>1440</v>
      </c>
      <c r="I71" s="304">
        <v>25000.0</v>
      </c>
      <c r="J71" s="258"/>
      <c r="K71" s="357">
        <f t="shared" si="37"/>
        <v>25000</v>
      </c>
      <c r="L71" s="254">
        <v>19350.0</v>
      </c>
      <c r="M71" s="254">
        <v>9300.0</v>
      </c>
      <c r="N71" s="169">
        <f t="shared" si="32"/>
        <v>10050</v>
      </c>
    </row>
    <row r="72" ht="19.5" customHeight="1">
      <c r="A72" s="147">
        <v>12.0</v>
      </c>
      <c r="B72" s="148" t="s">
        <v>28</v>
      </c>
      <c r="C72" s="259"/>
      <c r="D72" s="259"/>
      <c r="E72" s="149"/>
      <c r="F72" s="437">
        <v>4860.0</v>
      </c>
      <c r="G72" s="254">
        <f>3420+1440</f>
        <v>4860</v>
      </c>
      <c r="H72" s="438">
        <f t="shared" si="33"/>
        <v>0</v>
      </c>
      <c r="I72" s="304">
        <v>12500.0</v>
      </c>
      <c r="J72" s="258"/>
      <c r="K72" s="357">
        <f t="shared" si="37"/>
        <v>12500</v>
      </c>
      <c r="L72" s="254">
        <v>19350.0</v>
      </c>
      <c r="M72" s="254">
        <f>9300+2400+4500</f>
        <v>16200</v>
      </c>
      <c r="N72" s="169">
        <f t="shared" si="32"/>
        <v>3150</v>
      </c>
    </row>
    <row r="73" ht="19.5" customHeight="1">
      <c r="A73" s="147">
        <v>13.0</v>
      </c>
      <c r="B73" s="148" t="s">
        <v>29</v>
      </c>
      <c r="C73" s="259"/>
      <c r="D73" s="259"/>
      <c r="E73" s="149"/>
      <c r="F73" s="437">
        <v>4860.0</v>
      </c>
      <c r="G73" s="254">
        <f>3060+1440</f>
        <v>4500</v>
      </c>
      <c r="H73" s="441">
        <f t="shared" si="33"/>
        <v>360</v>
      </c>
      <c r="I73" s="258"/>
      <c r="J73" s="258"/>
      <c r="K73" s="259"/>
      <c r="L73" s="254">
        <v>19350.0</v>
      </c>
      <c r="M73" s="254">
        <f>8700+6900+1500</f>
        <v>17100</v>
      </c>
      <c r="N73" s="169">
        <f t="shared" si="32"/>
        <v>2250</v>
      </c>
    </row>
    <row r="74" ht="19.5" customHeight="1">
      <c r="A74" s="147">
        <v>14.0</v>
      </c>
      <c r="B74" s="148" t="s">
        <v>30</v>
      </c>
      <c r="C74" s="259"/>
      <c r="D74" s="259"/>
      <c r="E74" s="149"/>
      <c r="F74" s="437"/>
      <c r="G74" s="289"/>
      <c r="H74" s="442"/>
      <c r="I74" s="258"/>
      <c r="J74" s="258"/>
      <c r="K74" s="259"/>
      <c r="L74" s="254">
        <v>19350.0</v>
      </c>
      <c r="M74" s="254">
        <f>9300+6900+3150</f>
        <v>19350</v>
      </c>
      <c r="N74" s="153">
        <f t="shared" si="32"/>
        <v>0</v>
      </c>
    </row>
    <row r="75" ht="19.5" customHeight="1">
      <c r="A75" s="147">
        <v>15.0</v>
      </c>
      <c r="B75" s="148" t="s">
        <v>31</v>
      </c>
      <c r="C75" s="259"/>
      <c r="D75" s="259"/>
      <c r="E75" s="149"/>
      <c r="F75" s="437">
        <v>4860.0</v>
      </c>
      <c r="G75" s="254">
        <f t="shared" ref="G75:G79" si="38">3420+1440</f>
        <v>4860</v>
      </c>
      <c r="H75" s="438">
        <f t="shared" ref="H75:H79" si="39">F75-G75</f>
        <v>0</v>
      </c>
      <c r="I75" s="304">
        <v>12500.0</v>
      </c>
      <c r="J75" s="258"/>
      <c r="K75" s="357">
        <f>I75-J75</f>
        <v>12500</v>
      </c>
      <c r="L75" s="254">
        <v>19350.0</v>
      </c>
      <c r="M75" s="254">
        <f>9300+3150+4500+2400</f>
        <v>19350</v>
      </c>
      <c r="N75" s="153">
        <f t="shared" si="32"/>
        <v>0</v>
      </c>
    </row>
    <row r="76" ht="19.5" customHeight="1">
      <c r="A76" s="147">
        <v>16.0</v>
      </c>
      <c r="B76" s="148" t="s">
        <v>32</v>
      </c>
      <c r="C76" s="259"/>
      <c r="D76" s="259"/>
      <c r="E76" s="149"/>
      <c r="F76" s="437">
        <v>4860.0</v>
      </c>
      <c r="G76" s="254">
        <f t="shared" si="38"/>
        <v>4860</v>
      </c>
      <c r="H76" s="438">
        <f t="shared" si="39"/>
        <v>0</v>
      </c>
      <c r="I76" s="258"/>
      <c r="J76" s="258"/>
      <c r="K76" s="259"/>
      <c r="L76" s="254">
        <v>19350.0</v>
      </c>
      <c r="M76" s="254">
        <f t="shared" ref="M76:M79" si="40">9300+3150+6900</f>
        <v>19350</v>
      </c>
      <c r="N76" s="153">
        <f t="shared" si="32"/>
        <v>0</v>
      </c>
    </row>
    <row r="77" ht="19.5" customHeight="1">
      <c r="A77" s="147">
        <v>17.0</v>
      </c>
      <c r="B77" s="148" t="s">
        <v>33</v>
      </c>
      <c r="C77" s="259"/>
      <c r="D77" s="259"/>
      <c r="E77" s="149"/>
      <c r="F77" s="437">
        <v>4860.0</v>
      </c>
      <c r="G77" s="254">
        <f t="shared" si="38"/>
        <v>4860</v>
      </c>
      <c r="H77" s="438">
        <f t="shared" si="39"/>
        <v>0</v>
      </c>
      <c r="I77" s="304">
        <v>12500.0</v>
      </c>
      <c r="J77" s="258">
        <f>12500</f>
        <v>12500</v>
      </c>
      <c r="K77" s="153">
        <f>I77-J77</f>
        <v>0</v>
      </c>
      <c r="L77" s="254">
        <v>19350.0</v>
      </c>
      <c r="M77" s="254">
        <f t="shared" si="40"/>
        <v>19350</v>
      </c>
      <c r="N77" s="153">
        <f t="shared" si="32"/>
        <v>0</v>
      </c>
    </row>
    <row r="78" ht="19.5" customHeight="1">
      <c r="A78" s="147">
        <v>18.0</v>
      </c>
      <c r="B78" s="148" t="s">
        <v>34</v>
      </c>
      <c r="C78" s="259"/>
      <c r="D78" s="259"/>
      <c r="E78" s="149"/>
      <c r="F78" s="437">
        <v>4860.0</v>
      </c>
      <c r="G78" s="254">
        <f t="shared" si="38"/>
        <v>4860</v>
      </c>
      <c r="H78" s="438">
        <f t="shared" si="39"/>
        <v>0</v>
      </c>
      <c r="I78" s="258"/>
      <c r="J78" s="258"/>
      <c r="K78" s="259"/>
      <c r="L78" s="254">
        <v>19350.0</v>
      </c>
      <c r="M78" s="254">
        <f t="shared" si="40"/>
        <v>19350</v>
      </c>
      <c r="N78" s="153">
        <f t="shared" si="32"/>
        <v>0</v>
      </c>
    </row>
    <row r="79" ht="19.5" customHeight="1">
      <c r="A79" s="147">
        <v>19.0</v>
      </c>
      <c r="B79" s="358" t="s">
        <v>35</v>
      </c>
      <c r="C79" s="259"/>
      <c r="D79" s="259"/>
      <c r="E79" s="149"/>
      <c r="F79" s="437">
        <v>4860.0</v>
      </c>
      <c r="G79" s="254">
        <f t="shared" si="38"/>
        <v>4860</v>
      </c>
      <c r="H79" s="438">
        <f t="shared" si="39"/>
        <v>0</v>
      </c>
      <c r="I79" s="304">
        <v>12500.0</v>
      </c>
      <c r="J79" s="258">
        <f>8900+3600</f>
        <v>12500</v>
      </c>
      <c r="K79" s="153">
        <f t="shared" ref="K79:K80" si="43">I79-J79</f>
        <v>0</v>
      </c>
      <c r="L79" s="254">
        <v>19350.0</v>
      </c>
      <c r="M79" s="254">
        <f t="shared" si="40"/>
        <v>19350</v>
      </c>
      <c r="N79" s="153">
        <f t="shared" si="32"/>
        <v>0</v>
      </c>
    </row>
    <row r="80" ht="19.5" customHeight="1">
      <c r="A80" s="171" t="s">
        <v>36</v>
      </c>
      <c r="B80" s="21"/>
      <c r="C80" s="172">
        <f t="shared" ref="C80:F80" si="41">SUM(C61:C79)</f>
        <v>36000</v>
      </c>
      <c r="D80" s="172">
        <f t="shared" si="41"/>
        <v>6000</v>
      </c>
      <c r="E80" s="174">
        <f t="shared" si="41"/>
        <v>30000</v>
      </c>
      <c r="F80" s="401">
        <f t="shared" si="41"/>
        <v>87500</v>
      </c>
      <c r="G80" s="174">
        <f>SUM(G62:G79)</f>
        <v>85700</v>
      </c>
      <c r="H80" s="174">
        <f t="shared" ref="H80:J80" si="42">SUM(H61:H79)</f>
        <v>1800</v>
      </c>
      <c r="I80" s="174">
        <f t="shared" si="42"/>
        <v>250000</v>
      </c>
      <c r="J80" s="174">
        <f t="shared" si="42"/>
        <v>112500</v>
      </c>
      <c r="K80" s="285">
        <f t="shared" si="43"/>
        <v>137500</v>
      </c>
      <c r="L80" s="174">
        <f>SUM(L61:L79)</f>
        <v>348300</v>
      </c>
      <c r="M80" s="172">
        <f>SUM(M62:M79)</f>
        <v>329850</v>
      </c>
      <c r="N80" s="173">
        <f t="shared" si="32"/>
        <v>18450</v>
      </c>
    </row>
    <row r="81" ht="19.5" customHeight="1">
      <c r="A81" s="348"/>
      <c r="B81" s="348"/>
      <c r="C81" s="348"/>
      <c r="D81" s="348"/>
      <c r="E81" s="348"/>
      <c r="F81" s="348"/>
      <c r="G81" s="348"/>
      <c r="H81" s="348"/>
      <c r="I81" s="348"/>
      <c r="J81" s="348"/>
      <c r="K81" s="348"/>
      <c r="L81" s="348"/>
      <c r="M81" s="348"/>
      <c r="N81" s="348"/>
    </row>
    <row r="82" ht="19.5" customHeight="1">
      <c r="A82" s="348"/>
      <c r="B82" s="348"/>
      <c r="C82" s="348"/>
      <c r="D82" s="348"/>
      <c r="E82" s="348"/>
      <c r="F82" s="348"/>
      <c r="G82" s="348"/>
      <c r="H82" s="348"/>
      <c r="I82" s="348"/>
      <c r="J82" s="348"/>
      <c r="K82" s="348"/>
      <c r="L82" s="348"/>
      <c r="M82" s="348"/>
      <c r="N82" s="348"/>
    </row>
    <row r="83" ht="19.5" customHeight="1">
      <c r="A83" s="131" t="s">
        <v>91</v>
      </c>
    </row>
    <row r="84" ht="19.5" customHeight="1">
      <c r="A84" s="131" t="s">
        <v>193</v>
      </c>
    </row>
    <row r="85" ht="19.5" customHeight="1">
      <c r="A85" s="133" t="s">
        <v>4</v>
      </c>
      <c r="B85" s="133" t="s">
        <v>5</v>
      </c>
      <c r="C85" s="250" t="s">
        <v>212</v>
      </c>
      <c r="D85" s="7"/>
      <c r="E85" s="8"/>
      <c r="F85" s="443" t="s">
        <v>213</v>
      </c>
      <c r="G85" s="7"/>
      <c r="H85" s="8"/>
      <c r="I85" s="443" t="s">
        <v>214</v>
      </c>
      <c r="J85" s="7"/>
      <c r="K85" s="8"/>
      <c r="L85" s="443" t="s">
        <v>215</v>
      </c>
      <c r="M85" s="7"/>
      <c r="N85" s="8"/>
    </row>
    <row r="86" ht="19.5" customHeight="1">
      <c r="A86" s="12"/>
      <c r="B86" s="12"/>
      <c r="C86" s="14"/>
      <c r="D86" s="15"/>
      <c r="E86" s="16"/>
      <c r="F86" s="14"/>
      <c r="G86" s="15"/>
      <c r="H86" s="16"/>
      <c r="I86" s="14"/>
      <c r="J86" s="15"/>
      <c r="K86" s="16"/>
      <c r="L86" s="14"/>
      <c r="M86" s="15"/>
      <c r="N86" s="16"/>
    </row>
    <row r="87" ht="19.5" customHeight="1">
      <c r="A87" s="12"/>
      <c r="B87" s="12"/>
      <c r="C87" s="354" t="s">
        <v>198</v>
      </c>
      <c r="D87" s="20"/>
      <c r="E87" s="21"/>
      <c r="F87" s="444" t="s">
        <v>198</v>
      </c>
      <c r="G87" s="20"/>
      <c r="H87" s="21"/>
      <c r="I87" s="444" t="s">
        <v>198</v>
      </c>
      <c r="J87" s="20"/>
      <c r="K87" s="21"/>
      <c r="L87" s="444" t="s">
        <v>198</v>
      </c>
      <c r="M87" s="20"/>
      <c r="N87" s="21"/>
    </row>
    <row r="88" ht="19.5" customHeight="1">
      <c r="A88" s="22"/>
      <c r="B88" s="22"/>
      <c r="C88" s="144" t="s">
        <v>13</v>
      </c>
      <c r="D88" s="144" t="s">
        <v>14</v>
      </c>
      <c r="E88" s="144" t="s">
        <v>15</v>
      </c>
      <c r="F88" s="144" t="s">
        <v>13</v>
      </c>
      <c r="G88" s="144" t="s">
        <v>14</v>
      </c>
      <c r="H88" s="144" t="s">
        <v>15</v>
      </c>
      <c r="I88" s="144" t="s">
        <v>13</v>
      </c>
      <c r="J88" s="144" t="s">
        <v>14</v>
      </c>
      <c r="K88" s="144" t="s">
        <v>15</v>
      </c>
      <c r="L88" s="144" t="s">
        <v>13</v>
      </c>
      <c r="M88" s="144" t="s">
        <v>14</v>
      </c>
      <c r="N88" s="144" t="s">
        <v>15</v>
      </c>
    </row>
    <row r="89" ht="19.5" customHeight="1">
      <c r="A89" s="147">
        <v>1.0</v>
      </c>
      <c r="B89" s="148" t="s">
        <v>17</v>
      </c>
      <c r="C89" s="259"/>
      <c r="D89" s="259"/>
      <c r="E89" s="199"/>
      <c r="F89" s="436"/>
      <c r="G89" s="436"/>
      <c r="H89" s="199"/>
      <c r="I89" s="436"/>
      <c r="J89" s="436"/>
      <c r="K89" s="199"/>
      <c r="L89" s="436"/>
      <c r="M89" s="436"/>
      <c r="N89" s="199">
        <f>L89-M89</f>
        <v>0</v>
      </c>
    </row>
    <row r="90" ht="19.5" customHeight="1">
      <c r="A90" s="147">
        <v>2.0</v>
      </c>
      <c r="B90" s="159" t="s">
        <v>18</v>
      </c>
      <c r="C90" s="427">
        <v>14700.0</v>
      </c>
      <c r="D90" s="259">
        <f>1500+3900+9300</f>
        <v>14700</v>
      </c>
      <c r="E90" s="207">
        <f t="shared" ref="E90:E107" si="44">C90-D90</f>
        <v>0</v>
      </c>
      <c r="F90" s="304"/>
      <c r="G90" s="258"/>
      <c r="H90" s="259"/>
      <c r="I90" s="304"/>
      <c r="J90" s="258"/>
      <c r="K90" s="259"/>
      <c r="L90" s="254"/>
      <c r="M90" s="289"/>
      <c r="N90" s="259"/>
    </row>
    <row r="91" ht="19.5" customHeight="1">
      <c r="A91" s="147">
        <v>3.0</v>
      </c>
      <c r="B91" s="148" t="s">
        <v>19</v>
      </c>
      <c r="C91" s="427">
        <v>14700.0</v>
      </c>
      <c r="D91" s="427">
        <f>9300+5400</f>
        <v>14700</v>
      </c>
      <c r="E91" s="153">
        <f t="shared" si="44"/>
        <v>0</v>
      </c>
      <c r="F91" s="304"/>
      <c r="G91" s="258"/>
      <c r="H91" s="259"/>
      <c r="I91" s="304"/>
      <c r="J91" s="258"/>
      <c r="K91" s="259"/>
      <c r="L91" s="254"/>
      <c r="M91" s="289"/>
      <c r="N91" s="259"/>
    </row>
    <row r="92" ht="19.5" customHeight="1">
      <c r="A92" s="147">
        <v>4.0</v>
      </c>
      <c r="B92" s="148" t="s">
        <v>20</v>
      </c>
      <c r="C92" s="427">
        <v>14700.0</v>
      </c>
      <c r="D92" s="427">
        <f> 3900+1500+9300</f>
        <v>14700</v>
      </c>
      <c r="E92" s="207">
        <f t="shared" si="44"/>
        <v>0</v>
      </c>
      <c r="F92" s="304"/>
      <c r="G92" s="258"/>
      <c r="H92" s="259"/>
      <c r="I92" s="304"/>
      <c r="J92" s="258"/>
      <c r="K92" s="259"/>
      <c r="L92" s="254"/>
      <c r="M92" s="289"/>
      <c r="N92" s="259"/>
    </row>
    <row r="93" ht="19.5" customHeight="1">
      <c r="A93" s="147">
        <v>5.0</v>
      </c>
      <c r="B93" s="148" t="s">
        <v>21</v>
      </c>
      <c r="C93" s="427">
        <v>14700.0</v>
      </c>
      <c r="D93" s="427">
        <f>1500+3900+9300</f>
        <v>14700</v>
      </c>
      <c r="E93" s="207">
        <f t="shared" si="44"/>
        <v>0</v>
      </c>
      <c r="F93" s="304"/>
      <c r="G93" s="258"/>
      <c r="H93" s="259"/>
      <c r="I93" s="304"/>
      <c r="J93" s="258"/>
      <c r="K93" s="259"/>
      <c r="L93" s="254"/>
      <c r="M93" s="289"/>
      <c r="N93" s="259"/>
    </row>
    <row r="94" ht="19.5" customHeight="1">
      <c r="A94" s="147">
        <v>6.0</v>
      </c>
      <c r="B94" s="148" t="s">
        <v>22</v>
      </c>
      <c r="C94" s="427">
        <v>14700.0</v>
      </c>
      <c r="D94" s="427">
        <f t="shared" ref="D94:D97" si="45">9300+1500+3900</f>
        <v>14700</v>
      </c>
      <c r="E94" s="153">
        <f t="shared" si="44"/>
        <v>0</v>
      </c>
      <c r="F94" s="304"/>
      <c r="G94" s="258"/>
      <c r="H94" s="259"/>
      <c r="I94" s="304"/>
      <c r="J94" s="258"/>
      <c r="K94" s="259"/>
      <c r="L94" s="254"/>
      <c r="M94" s="289"/>
      <c r="N94" s="259"/>
    </row>
    <row r="95" ht="19.5" customHeight="1">
      <c r="A95" s="147">
        <v>7.0</v>
      </c>
      <c r="B95" s="148" t="s">
        <v>23</v>
      </c>
      <c r="C95" s="427">
        <v>14700.0</v>
      </c>
      <c r="D95" s="427">
        <f t="shared" si="45"/>
        <v>14700</v>
      </c>
      <c r="E95" s="153">
        <f t="shared" si="44"/>
        <v>0</v>
      </c>
      <c r="F95" s="304"/>
      <c r="G95" s="258"/>
      <c r="H95" s="259"/>
      <c r="I95" s="304"/>
      <c r="J95" s="258"/>
      <c r="K95" s="259"/>
      <c r="L95" s="254"/>
      <c r="M95" s="289"/>
      <c r="N95" s="259"/>
    </row>
    <row r="96" ht="19.5" customHeight="1">
      <c r="A96" s="147">
        <v>8.0</v>
      </c>
      <c r="B96" s="148" t="s">
        <v>24</v>
      </c>
      <c r="C96" s="427">
        <v>14700.0</v>
      </c>
      <c r="D96" s="427">
        <f t="shared" si="45"/>
        <v>14700</v>
      </c>
      <c r="E96" s="153">
        <f t="shared" si="44"/>
        <v>0</v>
      </c>
      <c r="F96" s="304"/>
      <c r="G96" s="258"/>
      <c r="H96" s="259"/>
      <c r="I96" s="304"/>
      <c r="J96" s="258"/>
      <c r="K96" s="259"/>
      <c r="L96" s="254"/>
      <c r="M96" s="289"/>
      <c r="N96" s="259"/>
    </row>
    <row r="97" ht="19.5" customHeight="1">
      <c r="A97" s="147">
        <v>9.0</v>
      </c>
      <c r="B97" s="148" t="s">
        <v>25</v>
      </c>
      <c r="C97" s="427">
        <v>14700.0</v>
      </c>
      <c r="D97" s="427">
        <f t="shared" si="45"/>
        <v>14700</v>
      </c>
      <c r="E97" s="153">
        <f t="shared" si="44"/>
        <v>0</v>
      </c>
      <c r="F97" s="304"/>
      <c r="G97" s="258"/>
      <c r="H97" s="259"/>
      <c r="I97" s="304"/>
      <c r="J97" s="258"/>
      <c r="K97" s="259"/>
      <c r="L97" s="254"/>
      <c r="M97" s="289"/>
      <c r="N97" s="259"/>
    </row>
    <row r="98" ht="19.5" customHeight="1">
      <c r="A98" s="147">
        <v>10.0</v>
      </c>
      <c r="B98" s="148" t="s">
        <v>26</v>
      </c>
      <c r="C98" s="427">
        <v>14700.0</v>
      </c>
      <c r="D98" s="427">
        <f>9300+3900+1500</f>
        <v>14700</v>
      </c>
      <c r="E98" s="153">
        <f t="shared" si="44"/>
        <v>0</v>
      </c>
      <c r="F98" s="304">
        <v>8000.0</v>
      </c>
      <c r="G98" s="304">
        <v>8000.0</v>
      </c>
      <c r="H98" s="207">
        <f>F98-G98</f>
        <v>0</v>
      </c>
      <c r="I98" s="304">
        <v>15800.0</v>
      </c>
      <c r="J98" s="304">
        <f>9800+6000</f>
        <v>15800</v>
      </c>
      <c r="K98" s="153">
        <f>I98-J98</f>
        <v>0</v>
      </c>
      <c r="L98" s="254">
        <v>15600.0</v>
      </c>
      <c r="M98" s="254">
        <f>7400+1400+4000+2800</f>
        <v>15600</v>
      </c>
      <c r="N98" s="153">
        <f>L98-M98</f>
        <v>0</v>
      </c>
    </row>
    <row r="99" ht="19.5" customHeight="1">
      <c r="A99" s="147">
        <v>11.0</v>
      </c>
      <c r="B99" s="148" t="s">
        <v>27</v>
      </c>
      <c r="C99" s="427">
        <v>29400.0</v>
      </c>
      <c r="D99" s="427">
        <v>18600.0</v>
      </c>
      <c r="E99" s="169">
        <f t="shared" si="44"/>
        <v>10800</v>
      </c>
      <c r="F99" s="304"/>
      <c r="G99" s="258"/>
      <c r="H99" s="259"/>
      <c r="I99" s="304"/>
      <c r="J99" s="258"/>
      <c r="K99" s="259"/>
      <c r="L99" s="254"/>
      <c r="M99" s="254"/>
      <c r="N99" s="149"/>
    </row>
    <row r="100" ht="19.5" customHeight="1">
      <c r="A100" s="147">
        <v>12.0</v>
      </c>
      <c r="B100" s="148" t="s">
        <v>28</v>
      </c>
      <c r="C100" s="427">
        <v>14700.0</v>
      </c>
      <c r="D100" s="427">
        <f>9300</f>
        <v>9300</v>
      </c>
      <c r="E100" s="247">
        <f t="shared" si="44"/>
        <v>5400</v>
      </c>
      <c r="F100" s="304"/>
      <c r="G100" s="258"/>
      <c r="H100" s="259"/>
      <c r="I100" s="304"/>
      <c r="J100" s="258"/>
      <c r="K100" s="259"/>
      <c r="L100" s="254"/>
      <c r="M100" s="289"/>
      <c r="N100" s="259"/>
    </row>
    <row r="101" ht="19.5" customHeight="1">
      <c r="A101" s="147">
        <v>13.0</v>
      </c>
      <c r="B101" s="148" t="s">
        <v>29</v>
      </c>
      <c r="C101" s="427">
        <v>14700.0</v>
      </c>
      <c r="D101" s="427">
        <f>8700+3900</f>
        <v>12600</v>
      </c>
      <c r="E101" s="169">
        <f t="shared" si="44"/>
        <v>2100</v>
      </c>
      <c r="F101" s="304"/>
      <c r="G101" s="258"/>
      <c r="H101" s="259"/>
      <c r="I101" s="304"/>
      <c r="J101" s="258"/>
      <c r="K101" s="259"/>
      <c r="L101" s="254"/>
      <c r="M101" s="254"/>
      <c r="N101" s="259"/>
    </row>
    <row r="102" ht="19.5" customHeight="1">
      <c r="A102" s="147">
        <v>14.0</v>
      </c>
      <c r="B102" s="148" t="s">
        <v>30</v>
      </c>
      <c r="C102" s="427">
        <v>14700.0</v>
      </c>
      <c r="D102" s="427">
        <f>9300+1500+3900</f>
        <v>14700</v>
      </c>
      <c r="E102" s="153">
        <f t="shared" si="44"/>
        <v>0</v>
      </c>
      <c r="F102" s="304"/>
      <c r="G102" s="258"/>
      <c r="H102" s="259"/>
      <c r="I102" s="304"/>
      <c r="J102" s="258"/>
      <c r="K102" s="259"/>
      <c r="L102" s="254"/>
      <c r="M102" s="289"/>
      <c r="N102" s="259"/>
    </row>
    <row r="103" ht="19.5" customHeight="1">
      <c r="A103" s="147">
        <v>15.0</v>
      </c>
      <c r="B103" s="148" t="s">
        <v>31</v>
      </c>
      <c r="C103" s="427">
        <v>14700.0</v>
      </c>
      <c r="D103" s="427">
        <v>9300.0</v>
      </c>
      <c r="E103" s="169">
        <f t="shared" si="44"/>
        <v>5400</v>
      </c>
      <c r="F103" s="304"/>
      <c r="G103" s="258"/>
      <c r="H103" s="259"/>
      <c r="I103" s="304"/>
      <c r="J103" s="258"/>
      <c r="K103" s="259"/>
      <c r="L103" s="254"/>
      <c r="M103" s="289"/>
      <c r="N103" s="259"/>
    </row>
    <row r="104" ht="19.5" customHeight="1">
      <c r="A104" s="147">
        <v>16.0</v>
      </c>
      <c r="B104" s="148" t="s">
        <v>32</v>
      </c>
      <c r="C104" s="427">
        <v>14700.0</v>
      </c>
      <c r="D104" s="259">
        <f> 3900+1500+9300</f>
        <v>14700</v>
      </c>
      <c r="E104" s="207">
        <f t="shared" si="44"/>
        <v>0</v>
      </c>
      <c r="F104" s="304"/>
      <c r="G104" s="258"/>
      <c r="H104" s="259"/>
      <c r="I104" s="304"/>
      <c r="J104" s="258"/>
      <c r="K104" s="259"/>
      <c r="L104" s="254"/>
      <c r="M104" s="289"/>
      <c r="N104" s="259"/>
    </row>
    <row r="105" ht="19.5" customHeight="1">
      <c r="A105" s="147">
        <v>17.0</v>
      </c>
      <c r="B105" s="148" t="s">
        <v>33</v>
      </c>
      <c r="C105" s="427">
        <v>29400.0</v>
      </c>
      <c r="D105" s="427">
        <f>18600+3000+7800</f>
        <v>29400</v>
      </c>
      <c r="E105" s="153">
        <f t="shared" si="44"/>
        <v>0</v>
      </c>
      <c r="F105" s="304"/>
      <c r="G105" s="258"/>
      <c r="H105" s="259"/>
      <c r="I105" s="304"/>
      <c r="J105" s="258"/>
      <c r="K105" s="259"/>
      <c r="L105" s="254"/>
      <c r="M105" s="289"/>
      <c r="N105" s="259"/>
    </row>
    <row r="106" ht="19.5" customHeight="1">
      <c r="A106" s="147">
        <v>18.0</v>
      </c>
      <c r="B106" s="148" t="s">
        <v>34</v>
      </c>
      <c r="C106" s="427">
        <v>29400.0</v>
      </c>
      <c r="D106" s="259">
        <f>7800+18600+3000</f>
        <v>29400</v>
      </c>
      <c r="E106" s="153">
        <f t="shared" si="44"/>
        <v>0</v>
      </c>
      <c r="F106" s="304"/>
      <c r="G106" s="304"/>
      <c r="H106" s="149"/>
      <c r="I106" s="304"/>
      <c r="J106" s="304"/>
      <c r="K106" s="149"/>
      <c r="L106" s="254"/>
      <c r="M106" s="289"/>
      <c r="N106" s="259"/>
    </row>
    <row r="107" ht="19.5" customHeight="1">
      <c r="A107" s="147">
        <v>19.0</v>
      </c>
      <c r="B107" s="358" t="s">
        <v>35</v>
      </c>
      <c r="C107" s="427">
        <v>14700.0</v>
      </c>
      <c r="D107" s="427">
        <f> 3900+1500+9300</f>
        <v>14700</v>
      </c>
      <c r="E107" s="207">
        <f t="shared" si="44"/>
        <v>0</v>
      </c>
      <c r="F107" s="304"/>
      <c r="G107" s="258"/>
      <c r="H107" s="259"/>
      <c r="I107" s="304"/>
      <c r="J107" s="258"/>
      <c r="K107" s="259"/>
      <c r="L107" s="254"/>
      <c r="M107" s="289"/>
      <c r="N107" s="259"/>
    </row>
    <row r="108" ht="19.5" customHeight="1">
      <c r="A108" s="171" t="s">
        <v>36</v>
      </c>
      <c r="B108" s="21"/>
      <c r="C108" s="172">
        <f t="shared" ref="C108:F108" si="46">SUM(C89:C107)</f>
        <v>308700</v>
      </c>
      <c r="D108" s="172">
        <f t="shared" si="46"/>
        <v>285000</v>
      </c>
      <c r="E108" s="174">
        <f t="shared" si="46"/>
        <v>23700</v>
      </c>
      <c r="F108" s="174">
        <f t="shared" si="46"/>
        <v>8000</v>
      </c>
      <c r="G108" s="174"/>
      <c r="H108" s="285">
        <f>SUM(H83:H107)</f>
        <v>0</v>
      </c>
      <c r="I108" s="174">
        <f>SUM(I89:I107)</f>
        <v>15800</v>
      </c>
      <c r="J108" s="174"/>
      <c r="K108" s="285">
        <f>SUM(K83:K107)</f>
        <v>0</v>
      </c>
      <c r="L108" s="174">
        <f>SUM(L89:L107)</f>
        <v>15600</v>
      </c>
      <c r="M108" s="172"/>
      <c r="N108" s="173">
        <f>SUM(N89:N107)</f>
        <v>0</v>
      </c>
      <c r="O108" s="445">
        <f>SUM(F108:N108)</f>
        <v>39400</v>
      </c>
    </row>
    <row r="109" ht="19.5" customHeight="1">
      <c r="A109" s="348"/>
      <c r="B109" s="348"/>
      <c r="C109" s="348"/>
      <c r="D109" s="348"/>
      <c r="E109" s="348"/>
      <c r="F109" s="348"/>
      <c r="G109" s="348"/>
      <c r="H109" s="348"/>
      <c r="I109" s="348"/>
      <c r="J109" s="348"/>
      <c r="K109" s="348"/>
      <c r="L109" s="348"/>
      <c r="M109" s="348"/>
      <c r="N109" s="348"/>
    </row>
    <row r="110" ht="19.5" customHeight="1">
      <c r="A110" s="131" t="s">
        <v>91</v>
      </c>
    </row>
    <row r="111" ht="19.5" customHeight="1">
      <c r="A111" s="131" t="s">
        <v>193</v>
      </c>
    </row>
    <row r="112" ht="19.5" customHeight="1">
      <c r="A112" s="133" t="s">
        <v>4</v>
      </c>
      <c r="B112" s="133" t="s">
        <v>5</v>
      </c>
      <c r="C112" s="433" t="s">
        <v>216</v>
      </c>
      <c r="D112" s="7"/>
      <c r="E112" s="8"/>
      <c r="F112" s="433" t="s">
        <v>217</v>
      </c>
      <c r="G112" s="7"/>
      <c r="H112" s="8"/>
      <c r="I112" s="351"/>
      <c r="J112" s="7"/>
      <c r="K112" s="8"/>
      <c r="L112" s="446"/>
    </row>
    <row r="113" ht="19.5" customHeight="1">
      <c r="A113" s="12"/>
      <c r="B113" s="12"/>
      <c r="C113" s="14"/>
      <c r="D113" s="15"/>
      <c r="E113" s="16"/>
      <c r="F113" s="14"/>
      <c r="G113" s="15"/>
      <c r="H113" s="16"/>
      <c r="I113" s="14"/>
      <c r="J113" s="15"/>
      <c r="K113" s="16"/>
      <c r="L113" s="446"/>
    </row>
    <row r="114" ht="19.5" customHeight="1">
      <c r="A114" s="12"/>
      <c r="B114" s="12"/>
      <c r="C114" s="434" t="s">
        <v>198</v>
      </c>
      <c r="D114" s="20"/>
      <c r="E114" s="21"/>
      <c r="F114" s="434" t="s">
        <v>198</v>
      </c>
      <c r="G114" s="20"/>
      <c r="H114" s="21"/>
      <c r="I114" s="354" t="s">
        <v>198</v>
      </c>
      <c r="J114" s="20"/>
      <c r="K114" s="21"/>
      <c r="L114" s="435" t="s">
        <v>198</v>
      </c>
      <c r="M114" s="20"/>
      <c r="N114" s="21"/>
    </row>
    <row r="115" ht="19.5" customHeight="1">
      <c r="A115" s="22"/>
      <c r="B115" s="22"/>
      <c r="C115" s="364" t="s">
        <v>13</v>
      </c>
      <c r="D115" s="144" t="s">
        <v>14</v>
      </c>
      <c r="E115" s="144" t="s">
        <v>15</v>
      </c>
      <c r="F115" s="364" t="s">
        <v>13</v>
      </c>
      <c r="G115" s="144" t="s">
        <v>14</v>
      </c>
      <c r="H115" s="144" t="s">
        <v>15</v>
      </c>
      <c r="I115" s="144" t="s">
        <v>13</v>
      </c>
      <c r="J115" s="144" t="s">
        <v>14</v>
      </c>
      <c r="K115" s="144" t="s">
        <v>15</v>
      </c>
      <c r="L115" s="144" t="s">
        <v>13</v>
      </c>
      <c r="M115" s="144" t="s">
        <v>14</v>
      </c>
      <c r="N115" s="144" t="s">
        <v>15</v>
      </c>
    </row>
    <row r="116" ht="19.5" customHeight="1">
      <c r="A116" s="147">
        <v>1.0</v>
      </c>
      <c r="B116" s="148" t="s">
        <v>17</v>
      </c>
      <c r="C116" s="420"/>
      <c r="D116" s="436"/>
      <c r="E116" s="199"/>
      <c r="F116" s="420"/>
      <c r="G116" s="436"/>
      <c r="H116" s="199"/>
      <c r="I116" s="436"/>
      <c r="J116" s="436"/>
      <c r="K116" s="199"/>
      <c r="L116" s="436"/>
      <c r="M116" s="436"/>
      <c r="N116" s="168">
        <f>L116-M116</f>
        <v>0</v>
      </c>
    </row>
    <row r="117" ht="19.5" customHeight="1">
      <c r="A117" s="147">
        <v>2.0</v>
      </c>
      <c r="B117" s="159" t="s">
        <v>18</v>
      </c>
      <c r="C117" s="437">
        <v>88800.0</v>
      </c>
      <c r="D117" s="254">
        <v>12900.0</v>
      </c>
      <c r="E117" s="169">
        <f>SUM(C117-D117)</f>
        <v>75900</v>
      </c>
      <c r="F117" s="437">
        <v>15000.0</v>
      </c>
      <c r="G117" s="254">
        <v>7300.0</v>
      </c>
      <c r="H117" s="169">
        <f t="shared" ref="H117:H134" si="47">F117-G117</f>
        <v>7700</v>
      </c>
      <c r="I117" s="258"/>
      <c r="J117" s="258"/>
      <c r="K117" s="259"/>
      <c r="L117" s="289"/>
      <c r="M117" s="289"/>
      <c r="N117" s="259"/>
    </row>
    <row r="118" ht="19.5" customHeight="1">
      <c r="A118" s="147">
        <v>3.0</v>
      </c>
      <c r="B118" s="148" t="s">
        <v>19</v>
      </c>
      <c r="C118" s="423"/>
      <c r="D118" s="289"/>
      <c r="E118" s="199">
        <f t="shared" ref="E118:E121" si="48">SUM(C118:D118)</f>
        <v>0</v>
      </c>
      <c r="F118" s="437">
        <v>15000.0</v>
      </c>
      <c r="G118" s="254">
        <v>7300.0</v>
      </c>
      <c r="H118" s="169">
        <f t="shared" si="47"/>
        <v>7700</v>
      </c>
      <c r="I118" s="258"/>
      <c r="J118" s="258"/>
      <c r="K118" s="259"/>
      <c r="L118" s="289"/>
      <c r="M118" s="289"/>
      <c r="N118" s="259"/>
    </row>
    <row r="119" ht="19.5" customHeight="1">
      <c r="A119" s="147">
        <v>4.0</v>
      </c>
      <c r="B119" s="148" t="s">
        <v>20</v>
      </c>
      <c r="C119" s="423"/>
      <c r="D119" s="289"/>
      <c r="E119" s="199">
        <f t="shared" si="48"/>
        <v>0</v>
      </c>
      <c r="F119" s="437">
        <v>15000.0</v>
      </c>
      <c r="G119" s="289">
        <f>7000+700+7300</f>
        <v>15000</v>
      </c>
      <c r="H119" s="207">
        <f t="shared" si="47"/>
        <v>0</v>
      </c>
      <c r="I119" s="258"/>
      <c r="J119" s="258"/>
      <c r="K119" s="259"/>
      <c r="L119" s="289"/>
      <c r="M119" s="289"/>
      <c r="N119" s="259"/>
    </row>
    <row r="120" ht="19.5" customHeight="1">
      <c r="A120" s="147">
        <v>5.0</v>
      </c>
      <c r="B120" s="148" t="s">
        <v>21</v>
      </c>
      <c r="C120" s="423"/>
      <c r="D120" s="289"/>
      <c r="E120" s="199">
        <f t="shared" si="48"/>
        <v>0</v>
      </c>
      <c r="F120" s="437">
        <v>15000.0</v>
      </c>
      <c r="G120" s="289">
        <f>700+7000</f>
        <v>7700</v>
      </c>
      <c r="H120" s="247">
        <f t="shared" si="47"/>
        <v>7300</v>
      </c>
      <c r="I120" s="258"/>
      <c r="J120" s="258"/>
      <c r="K120" s="259"/>
      <c r="L120" s="289"/>
      <c r="M120" s="289"/>
      <c r="N120" s="259"/>
    </row>
    <row r="121" ht="19.5" customHeight="1">
      <c r="A121" s="147">
        <v>6.0</v>
      </c>
      <c r="B121" s="148" t="s">
        <v>22</v>
      </c>
      <c r="C121" s="423"/>
      <c r="D121" s="289"/>
      <c r="E121" s="199">
        <f t="shared" si="48"/>
        <v>0</v>
      </c>
      <c r="F121" s="437">
        <v>15000.0</v>
      </c>
      <c r="G121" s="254">
        <f>7300+700</f>
        <v>8000</v>
      </c>
      <c r="H121" s="169">
        <f t="shared" si="47"/>
        <v>7000</v>
      </c>
      <c r="I121" s="258"/>
      <c r="J121" s="258"/>
      <c r="K121" s="259"/>
      <c r="L121" s="289"/>
      <c r="M121" s="289"/>
      <c r="N121" s="259"/>
    </row>
    <row r="122" ht="19.5" customHeight="1">
      <c r="A122" s="147">
        <v>7.0</v>
      </c>
      <c r="B122" s="148" t="s">
        <v>23</v>
      </c>
      <c r="C122" s="437">
        <v>88800.0</v>
      </c>
      <c r="D122" s="254">
        <f>12900+75900</f>
        <v>88800</v>
      </c>
      <c r="E122" s="153">
        <f>SUM(C122-D122)</f>
        <v>0</v>
      </c>
      <c r="F122" s="437">
        <v>15000.0</v>
      </c>
      <c r="G122" s="254">
        <f>7300+7000+700</f>
        <v>15000</v>
      </c>
      <c r="H122" s="153">
        <f t="shared" si="47"/>
        <v>0</v>
      </c>
      <c r="I122" s="258"/>
      <c r="J122" s="258"/>
      <c r="K122" s="259"/>
      <c r="L122" s="289"/>
      <c r="M122" s="289"/>
      <c r="N122" s="259"/>
    </row>
    <row r="123" ht="19.5" customHeight="1">
      <c r="A123" s="147">
        <v>8.0</v>
      </c>
      <c r="B123" s="148" t="s">
        <v>24</v>
      </c>
      <c r="C123" s="423"/>
      <c r="D123" s="289"/>
      <c r="E123" s="199">
        <f t="shared" ref="E123:E124" si="49">SUM(C123:D123)</f>
        <v>0</v>
      </c>
      <c r="F123" s="437">
        <v>15000.0</v>
      </c>
      <c r="G123" s="254">
        <f>7300+700+7000</f>
        <v>15000</v>
      </c>
      <c r="H123" s="153">
        <f t="shared" si="47"/>
        <v>0</v>
      </c>
      <c r="I123" s="258"/>
      <c r="J123" s="258"/>
      <c r="K123" s="259"/>
      <c r="L123" s="289"/>
      <c r="M123" s="289"/>
      <c r="N123" s="259"/>
    </row>
    <row r="124" ht="19.5" customHeight="1">
      <c r="A124" s="147">
        <v>9.0</v>
      </c>
      <c r="B124" s="148" t="s">
        <v>25</v>
      </c>
      <c r="C124" s="423"/>
      <c r="D124" s="289"/>
      <c r="E124" s="199">
        <f t="shared" si="49"/>
        <v>0</v>
      </c>
      <c r="F124" s="437">
        <v>15000.0</v>
      </c>
      <c r="G124" s="254">
        <v>7300.0</v>
      </c>
      <c r="H124" s="169">
        <f t="shared" si="47"/>
        <v>7700</v>
      </c>
      <c r="I124" s="258"/>
      <c r="J124" s="258"/>
      <c r="K124" s="259"/>
      <c r="L124" s="289"/>
      <c r="M124" s="289"/>
      <c r="N124" s="259"/>
    </row>
    <row r="125" ht="19.5" customHeight="1">
      <c r="A125" s="147">
        <v>10.0</v>
      </c>
      <c r="B125" s="148" t="s">
        <v>26</v>
      </c>
      <c r="C125" s="437">
        <v>88800.0</v>
      </c>
      <c r="D125" s="254">
        <f>12900+75900</f>
        <v>88800</v>
      </c>
      <c r="E125" s="153">
        <f>SUM(C125-D125)</f>
        <v>0</v>
      </c>
      <c r="F125" s="437">
        <v>15000.0</v>
      </c>
      <c r="G125" s="254">
        <f>7300+7000+700</f>
        <v>15000</v>
      </c>
      <c r="H125" s="153">
        <f t="shared" si="47"/>
        <v>0</v>
      </c>
      <c r="I125" s="258"/>
      <c r="J125" s="258"/>
      <c r="K125" s="259"/>
      <c r="L125" s="289"/>
      <c r="M125" s="289"/>
      <c r="N125" s="259"/>
    </row>
    <row r="126" ht="19.5" customHeight="1">
      <c r="A126" s="147">
        <v>11.0</v>
      </c>
      <c r="B126" s="148" t="s">
        <v>27</v>
      </c>
      <c r="C126" s="423"/>
      <c r="D126" s="289"/>
      <c r="E126" s="199">
        <f t="shared" ref="E126:E131" si="50">SUM(C126:D126)</f>
        <v>0</v>
      </c>
      <c r="F126" s="437">
        <v>15000.0</v>
      </c>
      <c r="G126" s="254">
        <v>7300.0</v>
      </c>
      <c r="H126" s="169">
        <f t="shared" si="47"/>
        <v>7700</v>
      </c>
      <c r="I126" s="258"/>
      <c r="J126" s="258"/>
      <c r="K126" s="259"/>
      <c r="L126" s="289"/>
      <c r="M126" s="289"/>
      <c r="N126" s="259"/>
    </row>
    <row r="127" ht="19.5" customHeight="1">
      <c r="A127" s="147">
        <v>12.0</v>
      </c>
      <c r="B127" s="148" t="s">
        <v>28</v>
      </c>
      <c r="C127" s="423"/>
      <c r="D127" s="289"/>
      <c r="E127" s="199">
        <f t="shared" si="50"/>
        <v>0</v>
      </c>
      <c r="F127" s="437">
        <v>15000.0</v>
      </c>
      <c r="G127" s="254">
        <v>7300.0</v>
      </c>
      <c r="H127" s="247">
        <f t="shared" si="47"/>
        <v>7700</v>
      </c>
      <c r="I127" s="258"/>
      <c r="J127" s="258"/>
      <c r="K127" s="259"/>
      <c r="L127" s="289"/>
      <c r="M127" s="289"/>
      <c r="N127" s="259"/>
    </row>
    <row r="128" ht="19.5" customHeight="1">
      <c r="A128" s="147">
        <v>13.0</v>
      </c>
      <c r="B128" s="148" t="s">
        <v>29</v>
      </c>
      <c r="C128" s="423"/>
      <c r="D128" s="289"/>
      <c r="E128" s="199">
        <f t="shared" si="50"/>
        <v>0</v>
      </c>
      <c r="F128" s="437">
        <v>15000.0</v>
      </c>
      <c r="G128" s="254">
        <v>7100.0</v>
      </c>
      <c r="H128" s="169">
        <f t="shared" si="47"/>
        <v>7900</v>
      </c>
      <c r="I128" s="258"/>
      <c r="J128" s="258"/>
      <c r="K128" s="259"/>
      <c r="L128" s="289"/>
      <c r="M128" s="289"/>
      <c r="N128" s="259"/>
    </row>
    <row r="129" ht="19.5" customHeight="1">
      <c r="A129" s="147">
        <v>14.0</v>
      </c>
      <c r="B129" s="148" t="s">
        <v>30</v>
      </c>
      <c r="C129" s="423"/>
      <c r="D129" s="289"/>
      <c r="E129" s="199">
        <f t="shared" si="50"/>
        <v>0</v>
      </c>
      <c r="F129" s="437">
        <v>15000.0</v>
      </c>
      <c r="G129" s="254">
        <v>7300.0</v>
      </c>
      <c r="H129" s="169">
        <f t="shared" si="47"/>
        <v>7700</v>
      </c>
      <c r="I129" s="258"/>
      <c r="J129" s="258"/>
      <c r="K129" s="259"/>
      <c r="L129" s="289"/>
      <c r="M129" s="289"/>
      <c r="N129" s="259"/>
    </row>
    <row r="130" ht="19.5" customHeight="1">
      <c r="A130" s="147">
        <v>15.0</v>
      </c>
      <c r="B130" s="148" t="s">
        <v>31</v>
      </c>
      <c r="C130" s="423"/>
      <c r="D130" s="289"/>
      <c r="E130" s="199">
        <f t="shared" si="50"/>
        <v>0</v>
      </c>
      <c r="F130" s="437">
        <v>15000.0</v>
      </c>
      <c r="G130" s="254">
        <v>7300.0</v>
      </c>
      <c r="H130" s="169">
        <f t="shared" si="47"/>
        <v>7700</v>
      </c>
      <c r="I130" s="258"/>
      <c r="J130" s="258"/>
      <c r="K130" s="259"/>
      <c r="L130" s="289"/>
      <c r="M130" s="289"/>
      <c r="N130" s="259"/>
    </row>
    <row r="131" ht="19.5" customHeight="1">
      <c r="A131" s="147">
        <v>16.0</v>
      </c>
      <c r="B131" s="148" t="s">
        <v>32</v>
      </c>
      <c r="C131" s="423"/>
      <c r="D131" s="289"/>
      <c r="E131" s="199">
        <f t="shared" si="50"/>
        <v>0</v>
      </c>
      <c r="F131" s="437">
        <v>15000.0</v>
      </c>
      <c r="G131" s="289"/>
      <c r="H131" s="357">
        <f t="shared" si="47"/>
        <v>15000</v>
      </c>
      <c r="I131" s="258"/>
      <c r="J131" s="258"/>
      <c r="K131" s="259"/>
      <c r="L131" s="289"/>
      <c r="M131" s="289"/>
      <c r="N131" s="259"/>
    </row>
    <row r="132" ht="19.5" customHeight="1">
      <c r="A132" s="147">
        <v>17.0</v>
      </c>
      <c r="B132" s="148" t="s">
        <v>33</v>
      </c>
      <c r="C132" s="437">
        <v>88800.0</v>
      </c>
      <c r="D132" s="254">
        <v>12900.0</v>
      </c>
      <c r="E132" s="169">
        <f>SUM(C132-D132)</f>
        <v>75900</v>
      </c>
      <c r="F132" s="437">
        <v>15000.0</v>
      </c>
      <c r="G132" s="254">
        <f t="shared" ref="G132:G133" si="51">7300+700+7000</f>
        <v>15000</v>
      </c>
      <c r="H132" s="153">
        <f t="shared" si="47"/>
        <v>0</v>
      </c>
      <c r="I132" s="258"/>
      <c r="J132" s="258"/>
      <c r="K132" s="259"/>
      <c r="L132" s="289"/>
      <c r="M132" s="289"/>
      <c r="N132" s="259"/>
    </row>
    <row r="133" ht="19.5" customHeight="1">
      <c r="A133" s="147">
        <v>18.0</v>
      </c>
      <c r="B133" s="148" t="s">
        <v>34</v>
      </c>
      <c r="C133" s="437"/>
      <c r="D133" s="254"/>
      <c r="E133" s="199">
        <f t="shared" ref="E133:E134" si="52">SUM(C133:D133)</f>
        <v>0</v>
      </c>
      <c r="F133" s="437">
        <v>15000.0</v>
      </c>
      <c r="G133" s="254">
        <f t="shared" si="51"/>
        <v>15000</v>
      </c>
      <c r="H133" s="153">
        <f t="shared" si="47"/>
        <v>0</v>
      </c>
      <c r="I133" s="258"/>
      <c r="J133" s="258"/>
      <c r="K133" s="259"/>
      <c r="L133" s="289"/>
      <c r="M133" s="289"/>
      <c r="N133" s="259"/>
    </row>
    <row r="134" ht="19.5" customHeight="1">
      <c r="A134" s="147">
        <v>19.0</v>
      </c>
      <c r="B134" s="358" t="s">
        <v>35</v>
      </c>
      <c r="C134" s="423"/>
      <c r="D134" s="289"/>
      <c r="E134" s="199">
        <f t="shared" si="52"/>
        <v>0</v>
      </c>
      <c r="F134" s="437">
        <v>15000.0</v>
      </c>
      <c r="G134" s="254">
        <v>7300.0</v>
      </c>
      <c r="H134" s="169">
        <f t="shared" si="47"/>
        <v>7700</v>
      </c>
      <c r="I134" s="258"/>
      <c r="J134" s="258"/>
      <c r="K134" s="259"/>
      <c r="L134" s="289"/>
      <c r="M134" s="289"/>
      <c r="N134" s="259"/>
    </row>
    <row r="135" ht="19.5" customHeight="1">
      <c r="A135" s="171" t="s">
        <v>36</v>
      </c>
      <c r="B135" s="21"/>
      <c r="C135" s="401">
        <f>SUM(C116:C134)</f>
        <v>355200</v>
      </c>
      <c r="D135" s="174">
        <f>SUM(D117:D134)</f>
        <v>203400</v>
      </c>
      <c r="E135" s="174">
        <f t="shared" ref="E135:F135" si="53">SUM(E116:E134)</f>
        <v>151800</v>
      </c>
      <c r="F135" s="401">
        <f t="shared" si="53"/>
        <v>270000</v>
      </c>
      <c r="G135" s="174">
        <f>SUM(G117:G134)</f>
        <v>171200</v>
      </c>
      <c r="H135" s="174">
        <f t="shared" ref="H135:J135" si="54">SUM(H116:H134)</f>
        <v>98800</v>
      </c>
      <c r="I135" s="174">
        <f t="shared" si="54"/>
        <v>0</v>
      </c>
      <c r="J135" s="174">
        <f t="shared" si="54"/>
        <v>0</v>
      </c>
      <c r="K135" s="285">
        <f>I135-J135</f>
        <v>0</v>
      </c>
      <c r="L135" s="174">
        <f>SUM(L116:L134)</f>
        <v>0</v>
      </c>
      <c r="M135" s="172">
        <f>SUM(M117:M134)</f>
        <v>0</v>
      </c>
      <c r="N135" s="173">
        <f>L135-M135</f>
        <v>0</v>
      </c>
    </row>
    <row r="136" ht="19.5" customHeight="1">
      <c r="A136" s="348"/>
      <c r="B136" s="348"/>
      <c r="C136" s="348"/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</row>
    <row r="137" ht="19.5" customHeight="1">
      <c r="A137" s="131" t="s">
        <v>91</v>
      </c>
    </row>
    <row r="138" ht="19.5" customHeight="1">
      <c r="A138" s="131" t="s">
        <v>193</v>
      </c>
    </row>
    <row r="139" ht="19.5" customHeight="1">
      <c r="A139" s="133" t="s">
        <v>4</v>
      </c>
      <c r="B139" s="133" t="s">
        <v>5</v>
      </c>
      <c r="C139" s="250" t="s">
        <v>218</v>
      </c>
      <c r="D139" s="7"/>
      <c r="E139" s="8"/>
      <c r="F139" s="447"/>
      <c r="G139" s="7"/>
      <c r="H139" s="8"/>
      <c r="I139" s="351"/>
      <c r="J139" s="7"/>
      <c r="K139" s="8"/>
      <c r="L139" s="446"/>
    </row>
    <row r="140" ht="19.5" customHeight="1">
      <c r="A140" s="12"/>
      <c r="B140" s="12"/>
      <c r="C140" s="14"/>
      <c r="D140" s="15"/>
      <c r="E140" s="16"/>
      <c r="F140" s="14"/>
      <c r="G140" s="15"/>
      <c r="H140" s="16"/>
      <c r="I140" s="14"/>
      <c r="J140" s="15"/>
      <c r="K140" s="16"/>
      <c r="L140" s="446"/>
    </row>
    <row r="141" ht="19.5" customHeight="1">
      <c r="A141" s="12"/>
      <c r="B141" s="12"/>
      <c r="C141" s="354" t="s">
        <v>198</v>
      </c>
      <c r="D141" s="20"/>
      <c r="E141" s="21"/>
      <c r="F141" s="434" t="s">
        <v>198</v>
      </c>
      <c r="G141" s="20"/>
      <c r="H141" s="21"/>
      <c r="I141" s="354" t="s">
        <v>198</v>
      </c>
      <c r="J141" s="20"/>
      <c r="K141" s="21"/>
      <c r="L141" s="435" t="s">
        <v>198</v>
      </c>
      <c r="M141" s="20"/>
      <c r="N141" s="21"/>
    </row>
    <row r="142" ht="19.5" customHeight="1">
      <c r="A142" s="22"/>
      <c r="B142" s="22"/>
      <c r="C142" s="144" t="s">
        <v>13</v>
      </c>
      <c r="D142" s="144" t="s">
        <v>14</v>
      </c>
      <c r="E142" s="144" t="s">
        <v>15</v>
      </c>
      <c r="F142" s="364" t="s">
        <v>13</v>
      </c>
      <c r="G142" s="144" t="s">
        <v>14</v>
      </c>
      <c r="H142" s="144" t="s">
        <v>15</v>
      </c>
      <c r="I142" s="144" t="s">
        <v>13</v>
      </c>
      <c r="J142" s="144" t="s">
        <v>14</v>
      </c>
      <c r="K142" s="144" t="s">
        <v>15</v>
      </c>
      <c r="L142" s="144" t="s">
        <v>13</v>
      </c>
      <c r="M142" s="144" t="s">
        <v>14</v>
      </c>
      <c r="N142" s="144" t="s">
        <v>15</v>
      </c>
    </row>
    <row r="143" ht="19.5" customHeight="1">
      <c r="A143" s="147">
        <v>1.0</v>
      </c>
      <c r="B143" s="148" t="s">
        <v>17</v>
      </c>
      <c r="C143" s="427">
        <v>43000.0</v>
      </c>
      <c r="D143" s="427">
        <v>24000.0</v>
      </c>
      <c r="E143" s="169">
        <f>C143-D143</f>
        <v>19000</v>
      </c>
      <c r="F143" s="420"/>
      <c r="G143" s="436"/>
      <c r="H143" s="199"/>
      <c r="I143" s="436"/>
      <c r="J143" s="436"/>
      <c r="K143" s="199"/>
      <c r="L143" s="436"/>
      <c r="M143" s="436"/>
      <c r="N143" s="168">
        <f>L143-M143</f>
        <v>0</v>
      </c>
    </row>
    <row r="144" ht="19.5" customHeight="1">
      <c r="A144" s="147">
        <v>2.0</v>
      </c>
      <c r="B144" s="159" t="s">
        <v>18</v>
      </c>
      <c r="C144" s="259"/>
      <c r="D144" s="259"/>
      <c r="E144" s="259"/>
      <c r="F144" s="423"/>
      <c r="G144" s="289"/>
      <c r="H144" s="259"/>
      <c r="I144" s="258"/>
      <c r="J144" s="258"/>
      <c r="K144" s="259"/>
      <c r="L144" s="289"/>
      <c r="M144" s="289"/>
      <c r="N144" s="259"/>
    </row>
    <row r="145" ht="19.5" customHeight="1">
      <c r="A145" s="147">
        <v>3.0</v>
      </c>
      <c r="B145" s="148" t="s">
        <v>19</v>
      </c>
      <c r="C145" s="259"/>
      <c r="D145" s="259"/>
      <c r="E145" s="259"/>
      <c r="F145" s="423"/>
      <c r="G145" s="289"/>
      <c r="H145" s="259"/>
      <c r="I145" s="258"/>
      <c r="J145" s="258"/>
      <c r="K145" s="259"/>
      <c r="L145" s="289"/>
      <c r="M145" s="289"/>
      <c r="N145" s="259"/>
    </row>
    <row r="146" ht="19.5" customHeight="1">
      <c r="A146" s="147">
        <v>4.0</v>
      </c>
      <c r="B146" s="148" t="s">
        <v>20</v>
      </c>
      <c r="C146" s="259"/>
      <c r="D146" s="259"/>
      <c r="E146" s="259"/>
      <c r="F146" s="423"/>
      <c r="G146" s="289"/>
      <c r="H146" s="259"/>
      <c r="I146" s="258"/>
      <c r="J146" s="258"/>
      <c r="K146" s="259"/>
      <c r="L146" s="289"/>
      <c r="M146" s="289"/>
      <c r="N146" s="259"/>
    </row>
    <row r="147" ht="19.5" customHeight="1">
      <c r="A147" s="147">
        <v>5.0</v>
      </c>
      <c r="B147" s="148" t="s">
        <v>21</v>
      </c>
      <c r="C147" s="259"/>
      <c r="D147" s="259"/>
      <c r="E147" s="259"/>
      <c r="F147" s="423"/>
      <c r="G147" s="289"/>
      <c r="H147" s="259"/>
      <c r="I147" s="258"/>
      <c r="J147" s="258"/>
      <c r="K147" s="427" t="s">
        <v>219</v>
      </c>
      <c r="L147" s="289"/>
      <c r="M147" s="289"/>
      <c r="N147" s="259"/>
    </row>
    <row r="148" ht="19.5" customHeight="1">
      <c r="A148" s="147">
        <v>6.0</v>
      </c>
      <c r="B148" s="148" t="s">
        <v>22</v>
      </c>
      <c r="C148" s="259"/>
      <c r="D148" s="259"/>
      <c r="E148" s="259"/>
      <c r="F148" s="423"/>
      <c r="G148" s="289"/>
      <c r="H148" s="259"/>
      <c r="I148" s="258"/>
      <c r="J148" s="258"/>
      <c r="K148" s="259"/>
      <c r="L148" s="289"/>
      <c r="M148" s="289"/>
      <c r="N148" s="259"/>
    </row>
    <row r="149" ht="19.5" customHeight="1">
      <c r="A149" s="147">
        <v>7.0</v>
      </c>
      <c r="B149" s="148" t="s">
        <v>23</v>
      </c>
      <c r="C149" s="259"/>
      <c r="D149" s="259"/>
      <c r="E149" s="259"/>
      <c r="F149" s="423"/>
      <c r="G149" s="289"/>
      <c r="H149" s="259"/>
      <c r="I149" s="258"/>
      <c r="J149" s="258"/>
      <c r="K149" s="259"/>
      <c r="L149" s="289"/>
      <c r="M149" s="289"/>
      <c r="N149" s="259"/>
    </row>
    <row r="150" ht="19.5" customHeight="1">
      <c r="A150" s="147">
        <v>8.0</v>
      </c>
      <c r="B150" s="148" t="s">
        <v>24</v>
      </c>
      <c r="C150" s="259"/>
      <c r="D150" s="259"/>
      <c r="E150" s="259"/>
      <c r="F150" s="423"/>
      <c r="G150" s="289"/>
      <c r="H150" s="259"/>
      <c r="I150" s="258"/>
      <c r="J150" s="258"/>
      <c r="K150" s="259"/>
      <c r="L150" s="289"/>
      <c r="M150" s="289"/>
      <c r="N150" s="259"/>
    </row>
    <row r="151" ht="19.5" customHeight="1">
      <c r="A151" s="147">
        <v>9.0</v>
      </c>
      <c r="B151" s="148" t="s">
        <v>25</v>
      </c>
      <c r="C151" s="259"/>
      <c r="D151" s="259"/>
      <c r="E151" s="149"/>
      <c r="F151" s="423"/>
      <c r="G151" s="289"/>
      <c r="H151" s="259"/>
      <c r="I151" s="258"/>
      <c r="J151" s="258"/>
      <c r="K151" s="259"/>
      <c r="L151" s="289"/>
      <c r="M151" s="289"/>
      <c r="N151" s="259"/>
    </row>
    <row r="152" ht="19.5" customHeight="1">
      <c r="A152" s="147">
        <v>10.0</v>
      </c>
      <c r="B152" s="148" t="s">
        <v>26</v>
      </c>
      <c r="C152" s="259"/>
      <c r="D152" s="259"/>
      <c r="E152" s="149"/>
      <c r="F152" s="423"/>
      <c r="G152" s="289"/>
      <c r="H152" s="259"/>
      <c r="I152" s="258"/>
      <c r="J152" s="258"/>
      <c r="K152" s="259"/>
      <c r="L152" s="289"/>
      <c r="M152" s="289"/>
      <c r="N152" s="259"/>
    </row>
    <row r="153" ht="19.5" customHeight="1">
      <c r="A153" s="147">
        <v>11.0</v>
      </c>
      <c r="B153" s="148" t="s">
        <v>27</v>
      </c>
      <c r="C153" s="259"/>
      <c r="D153" s="259"/>
      <c r="E153" s="149"/>
      <c r="F153" s="423"/>
      <c r="G153" s="289"/>
      <c r="H153" s="259"/>
      <c r="I153" s="258"/>
      <c r="J153" s="258"/>
      <c r="K153" s="259"/>
      <c r="L153" s="289"/>
      <c r="M153" s="289"/>
      <c r="N153" s="259"/>
    </row>
    <row r="154" ht="19.5" customHeight="1">
      <c r="A154" s="147">
        <v>12.0</v>
      </c>
      <c r="B154" s="148" t="s">
        <v>28</v>
      </c>
      <c r="C154" s="259"/>
      <c r="D154" s="259"/>
      <c r="E154" s="149"/>
      <c r="F154" s="423"/>
      <c r="G154" s="289"/>
      <c r="H154" s="259"/>
      <c r="I154" s="258"/>
      <c r="J154" s="258"/>
      <c r="K154" s="259"/>
      <c r="L154" s="289"/>
      <c r="M154" s="289"/>
      <c r="N154" s="259"/>
    </row>
    <row r="155" ht="19.5" customHeight="1">
      <c r="A155" s="147">
        <v>13.0</v>
      </c>
      <c r="B155" s="148" t="s">
        <v>29</v>
      </c>
      <c r="C155" s="259"/>
      <c r="D155" s="259"/>
      <c r="E155" s="149"/>
      <c r="F155" s="423"/>
      <c r="G155" s="289"/>
      <c r="H155" s="259"/>
      <c r="I155" s="258"/>
      <c r="J155" s="258"/>
      <c r="K155" s="259"/>
      <c r="L155" s="289"/>
      <c r="M155" s="289"/>
      <c r="N155" s="259"/>
    </row>
    <row r="156" ht="19.5" customHeight="1">
      <c r="A156" s="147">
        <v>14.0</v>
      </c>
      <c r="B156" s="148" t="s">
        <v>30</v>
      </c>
      <c r="C156" s="259"/>
      <c r="D156" s="259"/>
      <c r="E156" s="149"/>
      <c r="F156" s="423"/>
      <c r="G156" s="289"/>
      <c r="H156" s="259"/>
      <c r="I156" s="258"/>
      <c r="J156" s="258"/>
      <c r="K156" s="259"/>
      <c r="L156" s="289"/>
      <c r="M156" s="289"/>
      <c r="N156" s="259"/>
    </row>
    <row r="157" ht="19.5" customHeight="1">
      <c r="A157" s="147">
        <v>15.0</v>
      </c>
      <c r="B157" s="148" t="s">
        <v>31</v>
      </c>
      <c r="C157" s="259"/>
      <c r="D157" s="259"/>
      <c r="E157" s="149"/>
      <c r="F157" s="423"/>
      <c r="G157" s="289"/>
      <c r="H157" s="259"/>
      <c r="I157" s="258"/>
      <c r="J157" s="258"/>
      <c r="K157" s="259"/>
      <c r="L157" s="289"/>
      <c r="M157" s="289"/>
      <c r="N157" s="259"/>
    </row>
    <row r="158" ht="19.5" customHeight="1">
      <c r="A158" s="147">
        <v>16.0</v>
      </c>
      <c r="B158" s="148" t="s">
        <v>32</v>
      </c>
      <c r="C158" s="259"/>
      <c r="D158" s="259"/>
      <c r="E158" s="149"/>
      <c r="F158" s="423"/>
      <c r="G158" s="289"/>
      <c r="H158" s="259"/>
      <c r="I158" s="258"/>
      <c r="J158" s="258"/>
      <c r="K158" s="259"/>
      <c r="L158" s="289"/>
      <c r="M158" s="289"/>
      <c r="N158" s="259"/>
    </row>
    <row r="159" ht="19.5" customHeight="1">
      <c r="A159" s="147">
        <v>17.0</v>
      </c>
      <c r="B159" s="148" t="s">
        <v>33</v>
      </c>
      <c r="C159" s="259"/>
      <c r="D159" s="259"/>
      <c r="E159" s="149"/>
      <c r="F159" s="423"/>
      <c r="G159" s="289"/>
      <c r="H159" s="259"/>
      <c r="I159" s="258"/>
      <c r="J159" s="258"/>
      <c r="K159" s="259"/>
      <c r="L159" s="289"/>
      <c r="M159" s="289"/>
      <c r="N159" s="259"/>
    </row>
    <row r="160" ht="19.5" customHeight="1">
      <c r="A160" s="147">
        <v>18.0</v>
      </c>
      <c r="B160" s="148" t="s">
        <v>34</v>
      </c>
      <c r="C160" s="259"/>
      <c r="D160" s="259"/>
      <c r="E160" s="149"/>
      <c r="F160" s="423"/>
      <c r="G160" s="289"/>
      <c r="H160" s="259"/>
      <c r="I160" s="258"/>
      <c r="J160" s="258"/>
      <c r="K160" s="259"/>
      <c r="L160" s="289"/>
      <c r="M160" s="289"/>
      <c r="N160" s="259"/>
    </row>
    <row r="161" ht="19.5" customHeight="1">
      <c r="A161" s="147">
        <v>19.0</v>
      </c>
      <c r="B161" s="358" t="s">
        <v>35</v>
      </c>
      <c r="C161" s="259"/>
      <c r="D161" s="259"/>
      <c r="E161" s="149"/>
      <c r="F161" s="423"/>
      <c r="G161" s="289"/>
      <c r="H161" s="259"/>
      <c r="I161" s="258"/>
      <c r="J161" s="258"/>
      <c r="K161" s="259"/>
      <c r="L161" s="289"/>
      <c r="M161" s="289"/>
      <c r="N161" s="259"/>
    </row>
    <row r="162" ht="19.5" customHeight="1">
      <c r="A162" s="171" t="s">
        <v>36</v>
      </c>
      <c r="B162" s="21"/>
      <c r="C162" s="172">
        <f t="shared" ref="C162:F162" si="55">SUM(C143:C161)</f>
        <v>43000</v>
      </c>
      <c r="D162" s="172">
        <f t="shared" si="55"/>
        <v>24000</v>
      </c>
      <c r="E162" s="174">
        <f t="shared" si="55"/>
        <v>19000</v>
      </c>
      <c r="F162" s="401">
        <f t="shared" si="55"/>
        <v>0</v>
      </c>
      <c r="G162" s="174">
        <f>SUM(G144:G161)</f>
        <v>0</v>
      </c>
      <c r="H162" s="174">
        <f t="shared" ref="H162:J162" si="56">SUM(H143:H161)</f>
        <v>0</v>
      </c>
      <c r="I162" s="174">
        <f t="shared" si="56"/>
        <v>0</v>
      </c>
      <c r="J162" s="174">
        <f t="shared" si="56"/>
        <v>0</v>
      </c>
      <c r="K162" s="285">
        <f>I162-J162</f>
        <v>0</v>
      </c>
      <c r="L162" s="174">
        <f>SUM(L143:L161)</f>
        <v>0</v>
      </c>
      <c r="M162" s="172">
        <f>SUM(M144:M161)</f>
        <v>0</v>
      </c>
      <c r="N162" s="173">
        <f>L162-M162</f>
        <v>0</v>
      </c>
    </row>
    <row r="163" ht="19.5" customHeight="1">
      <c r="A163" s="348" t="s">
        <v>220</v>
      </c>
    </row>
    <row r="164" ht="19.5" customHeight="1">
      <c r="A164" s="348" t="s">
        <v>221</v>
      </c>
    </row>
    <row r="165" ht="19.5" customHeight="1">
      <c r="A165" s="133" t="s">
        <v>4</v>
      </c>
      <c r="B165" s="133" t="s">
        <v>5</v>
      </c>
      <c r="C165" s="351"/>
      <c r="D165" s="7"/>
      <c r="E165" s="8"/>
      <c r="F165" s="447"/>
      <c r="G165" s="7"/>
      <c r="H165" s="8"/>
      <c r="I165" s="351"/>
      <c r="J165" s="7"/>
      <c r="K165" s="8"/>
      <c r="L165" s="446"/>
    </row>
    <row r="166" ht="19.5" customHeight="1">
      <c r="A166" s="12"/>
      <c r="B166" s="12"/>
      <c r="C166" s="14"/>
      <c r="D166" s="15"/>
      <c r="E166" s="16"/>
      <c r="F166" s="14"/>
      <c r="G166" s="15"/>
      <c r="H166" s="16"/>
      <c r="I166" s="14"/>
      <c r="J166" s="15"/>
      <c r="K166" s="16"/>
      <c r="L166" s="446"/>
    </row>
    <row r="167" ht="19.5" customHeight="1">
      <c r="A167" s="12"/>
      <c r="B167" s="12"/>
      <c r="C167" s="354" t="s">
        <v>198</v>
      </c>
      <c r="D167" s="20"/>
      <c r="E167" s="21"/>
      <c r="F167" s="434" t="s">
        <v>198</v>
      </c>
      <c r="G167" s="20"/>
      <c r="H167" s="21"/>
      <c r="I167" s="354" t="s">
        <v>198</v>
      </c>
      <c r="J167" s="20"/>
      <c r="K167" s="21"/>
      <c r="L167" s="435" t="s">
        <v>198</v>
      </c>
      <c r="M167" s="20"/>
      <c r="N167" s="21"/>
    </row>
    <row r="168" ht="19.5" customHeight="1">
      <c r="A168" s="22"/>
      <c r="B168" s="22"/>
      <c r="C168" s="144" t="s">
        <v>13</v>
      </c>
      <c r="D168" s="144" t="s">
        <v>14</v>
      </c>
      <c r="E168" s="144" t="s">
        <v>15</v>
      </c>
      <c r="F168" s="364" t="s">
        <v>13</v>
      </c>
      <c r="G168" s="144" t="s">
        <v>14</v>
      </c>
      <c r="H168" s="144" t="s">
        <v>15</v>
      </c>
      <c r="I168" s="144" t="s">
        <v>13</v>
      </c>
      <c r="J168" s="144" t="s">
        <v>14</v>
      </c>
      <c r="K168" s="144" t="s">
        <v>15</v>
      </c>
      <c r="L168" s="144" t="s">
        <v>13</v>
      </c>
      <c r="M168" s="144" t="s">
        <v>14</v>
      </c>
      <c r="N168" s="144" t="s">
        <v>15</v>
      </c>
    </row>
    <row r="169" ht="19.5" customHeight="1">
      <c r="A169" s="147">
        <v>1.0</v>
      </c>
      <c r="B169" s="148" t="s">
        <v>17</v>
      </c>
      <c r="C169" s="259"/>
      <c r="D169" s="259"/>
      <c r="E169" s="199"/>
      <c r="F169" s="420"/>
      <c r="G169" s="436"/>
      <c r="H169" s="199"/>
      <c r="I169" s="436"/>
      <c r="J169" s="436"/>
      <c r="K169" s="199"/>
      <c r="L169" s="436"/>
      <c r="M169" s="436"/>
      <c r="N169" s="168">
        <f>L169-M169</f>
        <v>0</v>
      </c>
    </row>
    <row r="170" ht="19.5" customHeight="1">
      <c r="A170" s="147">
        <v>2.0</v>
      </c>
      <c r="B170" s="159" t="s">
        <v>18</v>
      </c>
      <c r="C170" s="259"/>
      <c r="D170" s="259"/>
      <c r="E170" s="259"/>
      <c r="F170" s="423"/>
      <c r="G170" s="289"/>
      <c r="H170" s="259"/>
      <c r="I170" s="258"/>
      <c r="J170" s="258"/>
      <c r="K170" s="259"/>
      <c r="L170" s="289"/>
      <c r="M170" s="289"/>
      <c r="N170" s="259"/>
    </row>
    <row r="171" ht="19.5" customHeight="1">
      <c r="A171" s="147">
        <v>3.0</v>
      </c>
      <c r="B171" s="148" t="s">
        <v>19</v>
      </c>
      <c r="C171" s="259"/>
      <c r="D171" s="259"/>
      <c r="E171" s="259"/>
      <c r="F171" s="423"/>
      <c r="G171" s="289"/>
      <c r="H171" s="259"/>
      <c r="I171" s="258"/>
      <c r="J171" s="258"/>
      <c r="K171" s="259"/>
      <c r="L171" s="289"/>
      <c r="M171" s="289"/>
      <c r="N171" s="259"/>
    </row>
    <row r="172" ht="19.5" customHeight="1">
      <c r="A172" s="147">
        <v>4.0</v>
      </c>
      <c r="B172" s="148" t="s">
        <v>20</v>
      </c>
      <c r="C172" s="259"/>
      <c r="D172" s="259"/>
      <c r="E172" s="259"/>
      <c r="F172" s="423"/>
      <c r="G172" s="289"/>
      <c r="H172" s="259"/>
      <c r="I172" s="258"/>
      <c r="J172" s="258"/>
      <c r="K172" s="259"/>
      <c r="L172" s="289"/>
      <c r="M172" s="289"/>
      <c r="N172" s="259"/>
    </row>
    <row r="173" ht="19.5" customHeight="1">
      <c r="A173" s="147">
        <v>5.0</v>
      </c>
      <c r="B173" s="148" t="s">
        <v>21</v>
      </c>
      <c r="C173" s="259"/>
      <c r="D173" s="259"/>
      <c r="E173" s="259"/>
      <c r="F173" s="423"/>
      <c r="G173" s="289"/>
      <c r="H173" s="259"/>
      <c r="I173" s="258"/>
      <c r="J173" s="258"/>
      <c r="K173" s="259"/>
      <c r="L173" s="289"/>
      <c r="M173" s="289"/>
      <c r="N173" s="259"/>
    </row>
    <row r="174" ht="19.5" customHeight="1">
      <c r="A174" s="147">
        <v>6.0</v>
      </c>
      <c r="B174" s="148" t="s">
        <v>22</v>
      </c>
      <c r="C174" s="259"/>
      <c r="D174" s="259"/>
      <c r="E174" s="259"/>
      <c r="F174" s="423"/>
      <c r="G174" s="289"/>
      <c r="H174" s="259"/>
      <c r="I174" s="258"/>
      <c r="J174" s="258"/>
      <c r="K174" s="259"/>
      <c r="L174" s="289"/>
      <c r="M174" s="289"/>
      <c r="N174" s="259"/>
    </row>
    <row r="175" ht="19.5" customHeight="1">
      <c r="A175" s="147">
        <v>7.0</v>
      </c>
      <c r="B175" s="148" t="s">
        <v>23</v>
      </c>
      <c r="C175" s="259"/>
      <c r="D175" s="259"/>
      <c r="E175" s="259"/>
      <c r="F175" s="423"/>
      <c r="G175" s="289"/>
      <c r="H175" s="259"/>
      <c r="I175" s="258"/>
      <c r="J175" s="258"/>
      <c r="K175" s="259"/>
      <c r="L175" s="289"/>
      <c r="M175" s="289"/>
      <c r="N175" s="259"/>
    </row>
    <row r="176" ht="19.5" customHeight="1">
      <c r="A176" s="147">
        <v>8.0</v>
      </c>
      <c r="B176" s="148" t="s">
        <v>24</v>
      </c>
      <c r="C176" s="259"/>
      <c r="D176" s="259"/>
      <c r="E176" s="259"/>
      <c r="F176" s="423"/>
      <c r="G176" s="289"/>
      <c r="H176" s="259"/>
      <c r="I176" s="258"/>
      <c r="J176" s="258"/>
      <c r="K176" s="259"/>
      <c r="L176" s="289"/>
      <c r="M176" s="289"/>
      <c r="N176" s="259"/>
    </row>
    <row r="177" ht="19.5" customHeight="1">
      <c r="A177" s="147">
        <v>9.0</v>
      </c>
      <c r="B177" s="148" t="s">
        <v>25</v>
      </c>
      <c r="C177" s="259"/>
      <c r="D177" s="259"/>
      <c r="E177" s="149"/>
      <c r="F177" s="423"/>
      <c r="G177" s="289"/>
      <c r="H177" s="259"/>
      <c r="I177" s="258"/>
      <c r="J177" s="258"/>
      <c r="K177" s="259"/>
      <c r="L177" s="289"/>
      <c r="M177" s="289"/>
      <c r="N177" s="259"/>
    </row>
    <row r="178" ht="19.5" customHeight="1">
      <c r="A178" s="147">
        <v>10.0</v>
      </c>
      <c r="B178" s="148" t="s">
        <v>26</v>
      </c>
      <c r="C178" s="259"/>
      <c r="D178" s="259"/>
      <c r="E178" s="149"/>
      <c r="F178" s="423"/>
      <c r="G178" s="289"/>
      <c r="H178" s="259"/>
      <c r="I178" s="258"/>
      <c r="J178" s="258"/>
      <c r="K178" s="259"/>
      <c r="L178" s="289"/>
      <c r="M178" s="289"/>
      <c r="N178" s="259"/>
    </row>
    <row r="179" ht="19.5" customHeight="1">
      <c r="A179" s="147">
        <v>11.0</v>
      </c>
      <c r="B179" s="148" t="s">
        <v>27</v>
      </c>
      <c r="C179" s="259"/>
      <c r="D179" s="259"/>
      <c r="E179" s="149"/>
      <c r="F179" s="423"/>
      <c r="G179" s="289"/>
      <c r="H179" s="259"/>
      <c r="I179" s="258"/>
      <c r="J179" s="258"/>
      <c r="K179" s="259"/>
      <c r="L179" s="289"/>
      <c r="M179" s="289"/>
      <c r="N179" s="259"/>
    </row>
    <row r="180" ht="19.5" customHeight="1">
      <c r="A180" s="147">
        <v>12.0</v>
      </c>
      <c r="B180" s="148" t="s">
        <v>28</v>
      </c>
      <c r="C180" s="259"/>
      <c r="D180" s="259"/>
      <c r="E180" s="149"/>
      <c r="F180" s="423"/>
      <c r="G180" s="289"/>
      <c r="H180" s="259"/>
      <c r="I180" s="258"/>
      <c r="J180" s="258"/>
      <c r="K180" s="259"/>
      <c r="L180" s="289"/>
      <c r="M180" s="289"/>
      <c r="N180" s="259"/>
    </row>
    <row r="181" ht="19.5" customHeight="1">
      <c r="A181" s="147">
        <v>13.0</v>
      </c>
      <c r="B181" s="148" t="s">
        <v>29</v>
      </c>
      <c r="C181" s="259"/>
      <c r="D181" s="259"/>
      <c r="E181" s="149"/>
      <c r="F181" s="423"/>
      <c r="G181" s="289"/>
      <c r="H181" s="259"/>
      <c r="I181" s="258"/>
      <c r="J181" s="258"/>
      <c r="K181" s="259"/>
      <c r="L181" s="289"/>
      <c r="M181" s="289"/>
      <c r="N181" s="259"/>
    </row>
    <row r="182" ht="19.5" customHeight="1">
      <c r="A182" s="147">
        <v>14.0</v>
      </c>
      <c r="B182" s="148" t="s">
        <v>30</v>
      </c>
      <c r="C182" s="259"/>
      <c r="D182" s="259"/>
      <c r="E182" s="149"/>
      <c r="F182" s="423"/>
      <c r="G182" s="289"/>
      <c r="H182" s="259"/>
      <c r="I182" s="258"/>
      <c r="J182" s="258"/>
      <c r="K182" s="259"/>
      <c r="L182" s="289"/>
      <c r="M182" s="289"/>
      <c r="N182" s="259"/>
    </row>
    <row r="183" ht="19.5" customHeight="1">
      <c r="A183" s="147">
        <v>15.0</v>
      </c>
      <c r="B183" s="148" t="s">
        <v>31</v>
      </c>
      <c r="C183" s="259"/>
      <c r="D183" s="259"/>
      <c r="E183" s="149"/>
      <c r="F183" s="423"/>
      <c r="G183" s="289"/>
      <c r="H183" s="259"/>
      <c r="I183" s="258"/>
      <c r="J183" s="258"/>
      <c r="K183" s="259"/>
      <c r="L183" s="289"/>
      <c r="M183" s="289"/>
      <c r="N183" s="259"/>
    </row>
    <row r="184" ht="19.5" customHeight="1">
      <c r="A184" s="147">
        <v>16.0</v>
      </c>
      <c r="B184" s="148" t="s">
        <v>32</v>
      </c>
      <c r="C184" s="259"/>
      <c r="D184" s="259"/>
      <c r="E184" s="149"/>
      <c r="F184" s="423"/>
      <c r="G184" s="289"/>
      <c r="H184" s="259"/>
      <c r="I184" s="258"/>
      <c r="J184" s="258"/>
      <c r="K184" s="259"/>
      <c r="L184" s="289"/>
      <c r="M184" s="289"/>
      <c r="N184" s="259"/>
    </row>
    <row r="185" ht="19.5" customHeight="1">
      <c r="A185" s="147">
        <v>17.0</v>
      </c>
      <c r="B185" s="148" t="s">
        <v>33</v>
      </c>
      <c r="C185" s="259"/>
      <c r="D185" s="259"/>
      <c r="E185" s="149"/>
      <c r="F185" s="423"/>
      <c r="G185" s="289"/>
      <c r="H185" s="259"/>
      <c r="I185" s="258"/>
      <c r="J185" s="258"/>
      <c r="K185" s="259"/>
      <c r="L185" s="289"/>
      <c r="M185" s="289"/>
      <c r="N185" s="259"/>
    </row>
    <row r="186" ht="19.5" customHeight="1">
      <c r="A186" s="147">
        <v>18.0</v>
      </c>
      <c r="B186" s="148" t="s">
        <v>34</v>
      </c>
      <c r="C186" s="259"/>
      <c r="D186" s="259"/>
      <c r="E186" s="149"/>
      <c r="F186" s="423"/>
      <c r="G186" s="289"/>
      <c r="H186" s="259"/>
      <c r="I186" s="258"/>
      <c r="J186" s="258"/>
      <c r="K186" s="259"/>
      <c r="L186" s="289"/>
      <c r="M186" s="289"/>
      <c r="N186" s="259"/>
    </row>
    <row r="187" ht="19.5" customHeight="1">
      <c r="A187" s="147">
        <v>19.0</v>
      </c>
      <c r="B187" s="358" t="s">
        <v>35</v>
      </c>
      <c r="C187" s="259"/>
      <c r="D187" s="259"/>
      <c r="E187" s="149"/>
      <c r="F187" s="423"/>
      <c r="G187" s="289"/>
      <c r="H187" s="259"/>
      <c r="I187" s="258"/>
      <c r="J187" s="258"/>
      <c r="K187" s="259"/>
      <c r="L187" s="289"/>
      <c r="M187" s="289"/>
      <c r="N187" s="259"/>
    </row>
    <row r="188" ht="19.5" customHeight="1">
      <c r="A188" s="171" t="s">
        <v>36</v>
      </c>
      <c r="B188" s="21"/>
      <c r="C188" s="172">
        <f t="shared" ref="C188:F188" si="57">SUM(C169:C187)</f>
        <v>0</v>
      </c>
      <c r="D188" s="172">
        <f t="shared" si="57"/>
        <v>0</v>
      </c>
      <c r="E188" s="174">
        <f t="shared" si="57"/>
        <v>0</v>
      </c>
      <c r="F188" s="401">
        <f t="shared" si="57"/>
        <v>0</v>
      </c>
      <c r="G188" s="174">
        <f>SUM(G170:G187)</f>
        <v>0</v>
      </c>
      <c r="H188" s="174">
        <f t="shared" ref="H188:J188" si="58">SUM(H169:H187)</f>
        <v>0</v>
      </c>
      <c r="I188" s="174">
        <f t="shared" si="58"/>
        <v>0</v>
      </c>
      <c r="J188" s="174">
        <f t="shared" si="58"/>
        <v>0</v>
      </c>
      <c r="K188" s="285">
        <f>I188-J188</f>
        <v>0</v>
      </c>
      <c r="L188" s="174">
        <f>SUM(L169:L187)</f>
        <v>0</v>
      </c>
      <c r="M188" s="172">
        <f>SUM(M170:M187)</f>
        <v>0</v>
      </c>
      <c r="N188" s="173">
        <f>L188-M188</f>
        <v>0</v>
      </c>
    </row>
    <row r="189" ht="19.5" customHeight="1">
      <c r="A189" s="348" t="s">
        <v>220</v>
      </c>
    </row>
    <row r="190" ht="19.5" customHeight="1">
      <c r="A190" s="348" t="s">
        <v>221</v>
      </c>
    </row>
    <row r="191" ht="19.5" customHeight="1">
      <c r="A191" s="133" t="s">
        <v>4</v>
      </c>
      <c r="B191" s="133" t="s">
        <v>5</v>
      </c>
      <c r="C191" s="351"/>
      <c r="D191" s="7"/>
      <c r="E191" s="8"/>
      <c r="F191" s="447"/>
      <c r="G191" s="7"/>
      <c r="H191" s="8"/>
      <c r="I191" s="351"/>
      <c r="J191" s="7"/>
      <c r="K191" s="8"/>
      <c r="L191" s="446"/>
    </row>
    <row r="192" ht="19.5" customHeight="1">
      <c r="A192" s="12"/>
      <c r="B192" s="12"/>
      <c r="C192" s="14"/>
      <c r="D192" s="15"/>
      <c r="E192" s="16"/>
      <c r="F192" s="14"/>
      <c r="G192" s="15"/>
      <c r="H192" s="16"/>
      <c r="I192" s="14"/>
      <c r="J192" s="15"/>
      <c r="K192" s="16"/>
      <c r="L192" s="446"/>
    </row>
    <row r="193" ht="19.5" customHeight="1">
      <c r="A193" s="12"/>
      <c r="B193" s="12"/>
      <c r="C193" s="354" t="s">
        <v>198</v>
      </c>
      <c r="D193" s="20"/>
      <c r="E193" s="21"/>
      <c r="F193" s="434" t="s">
        <v>198</v>
      </c>
      <c r="G193" s="20"/>
      <c r="H193" s="21"/>
      <c r="I193" s="354" t="s">
        <v>198</v>
      </c>
      <c r="J193" s="20"/>
      <c r="K193" s="21"/>
      <c r="L193" s="435" t="s">
        <v>198</v>
      </c>
      <c r="M193" s="20"/>
      <c r="N193" s="21"/>
    </row>
    <row r="194" ht="19.5" customHeight="1">
      <c r="A194" s="22"/>
      <c r="B194" s="22"/>
      <c r="C194" s="144" t="s">
        <v>13</v>
      </c>
      <c r="D194" s="144" t="s">
        <v>14</v>
      </c>
      <c r="E194" s="144" t="s">
        <v>15</v>
      </c>
      <c r="F194" s="364" t="s">
        <v>13</v>
      </c>
      <c r="G194" s="144" t="s">
        <v>14</v>
      </c>
      <c r="H194" s="144" t="s">
        <v>15</v>
      </c>
      <c r="I194" s="144" t="s">
        <v>13</v>
      </c>
      <c r="J194" s="144" t="s">
        <v>14</v>
      </c>
      <c r="K194" s="144" t="s">
        <v>15</v>
      </c>
      <c r="L194" s="144" t="s">
        <v>13</v>
      </c>
      <c r="M194" s="144" t="s">
        <v>14</v>
      </c>
      <c r="N194" s="144" t="s">
        <v>15</v>
      </c>
    </row>
    <row r="195" ht="19.5" customHeight="1">
      <c r="A195" s="147">
        <v>1.0</v>
      </c>
      <c r="B195" s="148" t="s">
        <v>17</v>
      </c>
      <c r="C195" s="259"/>
      <c r="D195" s="259"/>
      <c r="E195" s="199"/>
      <c r="F195" s="420"/>
      <c r="G195" s="436"/>
      <c r="H195" s="199"/>
      <c r="I195" s="436"/>
      <c r="J195" s="436"/>
      <c r="K195" s="199"/>
      <c r="L195" s="436"/>
      <c r="M195" s="436"/>
      <c r="N195" s="168">
        <f>L195-M195</f>
        <v>0</v>
      </c>
    </row>
    <row r="196" ht="19.5" customHeight="1">
      <c r="A196" s="147">
        <v>2.0</v>
      </c>
      <c r="B196" s="159" t="s">
        <v>18</v>
      </c>
      <c r="C196" s="259"/>
      <c r="D196" s="259"/>
      <c r="E196" s="259"/>
      <c r="F196" s="423"/>
      <c r="G196" s="289"/>
      <c r="H196" s="259"/>
      <c r="I196" s="258"/>
      <c r="J196" s="258"/>
      <c r="K196" s="259"/>
      <c r="L196" s="289"/>
      <c r="M196" s="289"/>
      <c r="N196" s="259"/>
    </row>
    <row r="197" ht="19.5" customHeight="1">
      <c r="A197" s="147">
        <v>3.0</v>
      </c>
      <c r="B197" s="148" t="s">
        <v>19</v>
      </c>
      <c r="C197" s="259"/>
      <c r="D197" s="259"/>
      <c r="E197" s="259"/>
      <c r="F197" s="423"/>
      <c r="G197" s="289"/>
      <c r="H197" s="259"/>
      <c r="I197" s="258"/>
      <c r="J197" s="258"/>
      <c r="K197" s="259"/>
      <c r="L197" s="289"/>
      <c r="M197" s="289"/>
      <c r="N197" s="259"/>
    </row>
    <row r="198" ht="19.5" customHeight="1">
      <c r="A198" s="147">
        <v>4.0</v>
      </c>
      <c r="B198" s="148" t="s">
        <v>20</v>
      </c>
      <c r="C198" s="259"/>
      <c r="D198" s="259"/>
      <c r="E198" s="259"/>
      <c r="F198" s="423"/>
      <c r="G198" s="289"/>
      <c r="H198" s="259"/>
      <c r="I198" s="258"/>
      <c r="J198" s="258"/>
      <c r="K198" s="259"/>
      <c r="L198" s="289"/>
      <c r="M198" s="289"/>
      <c r="N198" s="259"/>
    </row>
    <row r="199" ht="19.5" customHeight="1">
      <c r="A199" s="147">
        <v>5.0</v>
      </c>
      <c r="B199" s="148" t="s">
        <v>21</v>
      </c>
      <c r="C199" s="259"/>
      <c r="D199" s="259"/>
      <c r="E199" s="259"/>
      <c r="F199" s="423"/>
      <c r="G199" s="289"/>
      <c r="H199" s="259"/>
      <c r="I199" s="258"/>
      <c r="J199" s="258"/>
      <c r="K199" s="259"/>
      <c r="L199" s="289"/>
      <c r="M199" s="289"/>
      <c r="N199" s="259"/>
    </row>
    <row r="200" ht="19.5" customHeight="1">
      <c r="A200" s="147">
        <v>6.0</v>
      </c>
      <c r="B200" s="148" t="s">
        <v>22</v>
      </c>
      <c r="C200" s="259"/>
      <c r="D200" s="259"/>
      <c r="E200" s="259"/>
      <c r="F200" s="423"/>
      <c r="G200" s="289"/>
      <c r="H200" s="259"/>
      <c r="I200" s="258"/>
      <c r="J200" s="258"/>
      <c r="K200" s="259"/>
      <c r="L200" s="289"/>
      <c r="M200" s="289"/>
      <c r="N200" s="259"/>
    </row>
    <row r="201" ht="19.5" customHeight="1">
      <c r="A201" s="147">
        <v>7.0</v>
      </c>
      <c r="B201" s="148" t="s">
        <v>23</v>
      </c>
      <c r="C201" s="259"/>
      <c r="D201" s="259"/>
      <c r="E201" s="259"/>
      <c r="F201" s="423"/>
      <c r="G201" s="289"/>
      <c r="H201" s="259"/>
      <c r="I201" s="258"/>
      <c r="J201" s="258"/>
      <c r="K201" s="259"/>
      <c r="L201" s="289"/>
      <c r="M201" s="289"/>
      <c r="N201" s="259"/>
    </row>
    <row r="202" ht="19.5" customHeight="1">
      <c r="A202" s="147">
        <v>8.0</v>
      </c>
      <c r="B202" s="148" t="s">
        <v>24</v>
      </c>
      <c r="C202" s="259"/>
      <c r="D202" s="259"/>
      <c r="E202" s="259"/>
      <c r="F202" s="423"/>
      <c r="G202" s="289"/>
      <c r="H202" s="259"/>
      <c r="I202" s="258"/>
      <c r="J202" s="258"/>
      <c r="K202" s="259"/>
      <c r="L202" s="289"/>
      <c r="M202" s="289"/>
      <c r="N202" s="259"/>
    </row>
    <row r="203" ht="19.5" customHeight="1">
      <c r="A203" s="147">
        <v>9.0</v>
      </c>
      <c r="B203" s="148" t="s">
        <v>25</v>
      </c>
      <c r="C203" s="259"/>
      <c r="D203" s="259"/>
      <c r="E203" s="149"/>
      <c r="F203" s="423"/>
      <c r="G203" s="289"/>
      <c r="H203" s="259"/>
      <c r="I203" s="258"/>
      <c r="J203" s="258"/>
      <c r="K203" s="259"/>
      <c r="L203" s="289"/>
      <c r="M203" s="289"/>
      <c r="N203" s="259"/>
    </row>
    <row r="204" ht="19.5" customHeight="1">
      <c r="A204" s="147">
        <v>10.0</v>
      </c>
      <c r="B204" s="148" t="s">
        <v>26</v>
      </c>
      <c r="C204" s="259"/>
      <c r="D204" s="259"/>
      <c r="E204" s="149"/>
      <c r="F204" s="423"/>
      <c r="G204" s="289"/>
      <c r="H204" s="259"/>
      <c r="I204" s="258"/>
      <c r="J204" s="258"/>
      <c r="K204" s="259"/>
      <c r="L204" s="289"/>
      <c r="M204" s="289"/>
      <c r="N204" s="259"/>
    </row>
    <row r="205" ht="19.5" customHeight="1">
      <c r="A205" s="147">
        <v>11.0</v>
      </c>
      <c r="B205" s="148" t="s">
        <v>27</v>
      </c>
      <c r="C205" s="259"/>
      <c r="D205" s="259"/>
      <c r="E205" s="149"/>
      <c r="F205" s="423"/>
      <c r="G205" s="289"/>
      <c r="H205" s="259"/>
      <c r="I205" s="258"/>
      <c r="J205" s="258"/>
      <c r="K205" s="259"/>
      <c r="L205" s="289"/>
      <c r="M205" s="289"/>
      <c r="N205" s="259"/>
    </row>
    <row r="206" ht="19.5" customHeight="1">
      <c r="A206" s="147">
        <v>12.0</v>
      </c>
      <c r="B206" s="148" t="s">
        <v>28</v>
      </c>
      <c r="C206" s="259"/>
      <c r="D206" s="259"/>
      <c r="E206" s="149"/>
      <c r="F206" s="423"/>
      <c r="G206" s="289"/>
      <c r="H206" s="259"/>
      <c r="I206" s="258"/>
      <c r="J206" s="258"/>
      <c r="K206" s="259"/>
      <c r="L206" s="289"/>
      <c r="M206" s="289"/>
      <c r="N206" s="259"/>
    </row>
    <row r="207" ht="19.5" customHeight="1">
      <c r="A207" s="147">
        <v>13.0</v>
      </c>
      <c r="B207" s="148" t="s">
        <v>29</v>
      </c>
      <c r="C207" s="259"/>
      <c r="D207" s="259"/>
      <c r="E207" s="149"/>
      <c r="F207" s="423"/>
      <c r="G207" s="289"/>
      <c r="H207" s="259"/>
      <c r="I207" s="258"/>
      <c r="J207" s="258"/>
      <c r="K207" s="259"/>
      <c r="L207" s="289"/>
      <c r="M207" s="289"/>
      <c r="N207" s="259"/>
    </row>
    <row r="208" ht="19.5" customHeight="1">
      <c r="A208" s="147">
        <v>14.0</v>
      </c>
      <c r="B208" s="148" t="s">
        <v>30</v>
      </c>
      <c r="C208" s="259"/>
      <c r="D208" s="259"/>
      <c r="E208" s="149"/>
      <c r="F208" s="423"/>
      <c r="G208" s="289"/>
      <c r="H208" s="259"/>
      <c r="I208" s="258"/>
      <c r="J208" s="258"/>
      <c r="K208" s="259"/>
      <c r="L208" s="289"/>
      <c r="M208" s="289"/>
      <c r="N208" s="259"/>
    </row>
    <row r="209" ht="19.5" customHeight="1">
      <c r="A209" s="147">
        <v>15.0</v>
      </c>
      <c r="B209" s="148" t="s">
        <v>31</v>
      </c>
      <c r="C209" s="259"/>
      <c r="D209" s="259"/>
      <c r="E209" s="149"/>
      <c r="F209" s="423"/>
      <c r="G209" s="289"/>
      <c r="H209" s="259"/>
      <c r="I209" s="258"/>
      <c r="J209" s="258"/>
      <c r="K209" s="259"/>
      <c r="L209" s="289"/>
      <c r="M209" s="289"/>
      <c r="N209" s="259"/>
    </row>
    <row r="210" ht="19.5" customHeight="1">
      <c r="A210" s="147">
        <v>16.0</v>
      </c>
      <c r="B210" s="148" t="s">
        <v>32</v>
      </c>
      <c r="C210" s="259"/>
      <c r="D210" s="259"/>
      <c r="E210" s="149"/>
      <c r="F210" s="423"/>
      <c r="G210" s="289"/>
      <c r="H210" s="259"/>
      <c r="I210" s="258"/>
      <c r="J210" s="258"/>
      <c r="K210" s="259"/>
      <c r="L210" s="289"/>
      <c r="M210" s="289"/>
      <c r="N210" s="259"/>
    </row>
    <row r="211" ht="19.5" customHeight="1">
      <c r="A211" s="147">
        <v>17.0</v>
      </c>
      <c r="B211" s="148" t="s">
        <v>33</v>
      </c>
      <c r="C211" s="259"/>
      <c r="D211" s="259"/>
      <c r="E211" s="149"/>
      <c r="F211" s="423"/>
      <c r="G211" s="289"/>
      <c r="H211" s="259"/>
      <c r="I211" s="258"/>
      <c r="J211" s="258"/>
      <c r="K211" s="259"/>
      <c r="L211" s="289"/>
      <c r="M211" s="289"/>
      <c r="N211" s="259"/>
    </row>
    <row r="212" ht="19.5" customHeight="1">
      <c r="A212" s="147">
        <v>18.0</v>
      </c>
      <c r="B212" s="148" t="s">
        <v>34</v>
      </c>
      <c r="C212" s="259"/>
      <c r="D212" s="259"/>
      <c r="E212" s="149"/>
      <c r="F212" s="423"/>
      <c r="G212" s="289"/>
      <c r="H212" s="259"/>
      <c r="I212" s="258"/>
      <c r="J212" s="258"/>
      <c r="K212" s="259"/>
      <c r="L212" s="289"/>
      <c r="M212" s="289"/>
      <c r="N212" s="259"/>
    </row>
    <row r="213" ht="19.5" customHeight="1">
      <c r="A213" s="147">
        <v>19.0</v>
      </c>
      <c r="B213" s="358" t="s">
        <v>35</v>
      </c>
      <c r="C213" s="259"/>
      <c r="D213" s="259"/>
      <c r="E213" s="149"/>
      <c r="F213" s="423"/>
      <c r="G213" s="289"/>
      <c r="H213" s="259"/>
      <c r="I213" s="258"/>
      <c r="J213" s="258"/>
      <c r="K213" s="259"/>
      <c r="L213" s="289"/>
      <c r="M213" s="289"/>
      <c r="N213" s="259"/>
    </row>
    <row r="214" ht="19.5" customHeight="1">
      <c r="A214" s="171" t="s">
        <v>36</v>
      </c>
      <c r="B214" s="21"/>
      <c r="C214" s="172">
        <f t="shared" ref="C214:F214" si="59">SUM(C195:C213)</f>
        <v>0</v>
      </c>
      <c r="D214" s="172">
        <f t="shared" si="59"/>
        <v>0</v>
      </c>
      <c r="E214" s="174">
        <f t="shared" si="59"/>
        <v>0</v>
      </c>
      <c r="F214" s="401">
        <f t="shared" si="59"/>
        <v>0</v>
      </c>
      <c r="G214" s="174">
        <f>SUM(G196:G213)</f>
        <v>0</v>
      </c>
      <c r="H214" s="174">
        <f t="shared" ref="H214:J214" si="60">SUM(H195:H213)</f>
        <v>0</v>
      </c>
      <c r="I214" s="174">
        <f t="shared" si="60"/>
        <v>0</v>
      </c>
      <c r="J214" s="174">
        <f t="shared" si="60"/>
        <v>0</v>
      </c>
      <c r="K214" s="285">
        <f>I214-J214</f>
        <v>0</v>
      </c>
      <c r="L214" s="174">
        <f>SUM(L195:L213)</f>
        <v>0</v>
      </c>
      <c r="M214" s="172">
        <f>SUM(M196:M213)</f>
        <v>0</v>
      </c>
      <c r="N214" s="173">
        <f>L214-M214</f>
        <v>0</v>
      </c>
    </row>
    <row r="215" ht="19.5" customHeight="1">
      <c r="A215" s="348" t="s">
        <v>220</v>
      </c>
    </row>
    <row r="216" ht="19.5" customHeight="1">
      <c r="A216" s="348" t="s">
        <v>221</v>
      </c>
    </row>
    <row r="217" ht="19.5" customHeight="1">
      <c r="A217" s="133" t="s">
        <v>4</v>
      </c>
      <c r="B217" s="133" t="s">
        <v>5</v>
      </c>
      <c r="C217" s="250"/>
      <c r="D217" s="7"/>
      <c r="E217" s="8"/>
      <c r="F217" s="447"/>
      <c r="G217" s="7"/>
      <c r="H217" s="8"/>
      <c r="I217" s="351"/>
      <c r="J217" s="7"/>
      <c r="K217" s="8"/>
      <c r="L217" s="446"/>
    </row>
    <row r="218" ht="19.5" customHeight="1">
      <c r="A218" s="12"/>
      <c r="B218" s="12"/>
      <c r="C218" s="14"/>
      <c r="D218" s="15"/>
      <c r="E218" s="16"/>
      <c r="F218" s="14"/>
      <c r="G218" s="15"/>
      <c r="H218" s="16"/>
      <c r="I218" s="14"/>
      <c r="J218" s="15"/>
      <c r="K218" s="16"/>
      <c r="L218" s="446"/>
    </row>
    <row r="219" ht="19.5" customHeight="1">
      <c r="A219" s="12"/>
      <c r="B219" s="12"/>
      <c r="C219" s="354"/>
      <c r="D219" s="20"/>
      <c r="E219" s="21"/>
      <c r="F219" s="434" t="s">
        <v>198</v>
      </c>
      <c r="G219" s="20"/>
      <c r="H219" s="21"/>
      <c r="I219" s="354" t="s">
        <v>198</v>
      </c>
      <c r="J219" s="20"/>
      <c r="K219" s="21"/>
      <c r="L219" s="435" t="s">
        <v>198</v>
      </c>
      <c r="M219" s="20"/>
      <c r="N219" s="21"/>
    </row>
    <row r="220" ht="19.5" customHeight="1">
      <c r="A220" s="22"/>
      <c r="B220" s="22"/>
      <c r="C220" s="144"/>
      <c r="D220" s="144"/>
      <c r="E220" s="144"/>
      <c r="F220" s="364" t="s">
        <v>13</v>
      </c>
      <c r="G220" s="144" t="s">
        <v>14</v>
      </c>
      <c r="H220" s="144" t="s">
        <v>15</v>
      </c>
      <c r="I220" s="144" t="s">
        <v>13</v>
      </c>
      <c r="J220" s="144" t="s">
        <v>14</v>
      </c>
      <c r="K220" s="144" t="s">
        <v>15</v>
      </c>
      <c r="L220" s="144" t="s">
        <v>13</v>
      </c>
      <c r="M220" s="144" t="s">
        <v>14</v>
      </c>
      <c r="N220" s="144" t="s">
        <v>15</v>
      </c>
    </row>
    <row r="221" ht="19.5" customHeight="1">
      <c r="A221" s="147">
        <v>1.0</v>
      </c>
      <c r="B221" s="148" t="s">
        <v>17</v>
      </c>
      <c r="C221" s="427"/>
      <c r="D221" s="259"/>
      <c r="E221" s="448"/>
      <c r="F221" s="420"/>
      <c r="G221" s="436"/>
      <c r="H221" s="199"/>
      <c r="I221" s="436"/>
      <c r="J221" s="436"/>
      <c r="K221" s="199"/>
      <c r="L221" s="436"/>
      <c r="M221" s="436"/>
      <c r="N221" s="168">
        <f>L221-M221</f>
        <v>0</v>
      </c>
    </row>
    <row r="222" ht="19.5" customHeight="1">
      <c r="A222" s="147">
        <v>2.0</v>
      </c>
      <c r="B222" s="159" t="s">
        <v>18</v>
      </c>
      <c r="C222" s="259"/>
      <c r="D222" s="259"/>
      <c r="E222" s="259"/>
      <c r="F222" s="423"/>
      <c r="G222" s="289"/>
      <c r="H222" s="259"/>
      <c r="I222" s="258"/>
      <c r="J222" s="258"/>
      <c r="K222" s="259"/>
      <c r="L222" s="289"/>
      <c r="M222" s="289"/>
      <c r="N222" s="259"/>
    </row>
    <row r="223" ht="19.5" customHeight="1">
      <c r="A223" s="147">
        <v>3.0</v>
      </c>
      <c r="B223" s="148" t="s">
        <v>19</v>
      </c>
      <c r="C223" s="259"/>
      <c r="D223" s="259"/>
      <c r="E223" s="259"/>
      <c r="F223" s="423"/>
      <c r="G223" s="289"/>
      <c r="H223" s="259"/>
      <c r="I223" s="258"/>
      <c r="J223" s="258"/>
      <c r="K223" s="259"/>
      <c r="L223" s="289"/>
      <c r="M223" s="289"/>
      <c r="N223" s="259"/>
    </row>
    <row r="224" ht="19.5" customHeight="1">
      <c r="A224" s="147">
        <v>4.0</v>
      </c>
      <c r="B224" s="148" t="s">
        <v>20</v>
      </c>
      <c r="C224" s="259"/>
      <c r="D224" s="259"/>
      <c r="E224" s="259"/>
      <c r="F224" s="423"/>
      <c r="G224" s="289"/>
      <c r="H224" s="259"/>
      <c r="I224" s="258"/>
      <c r="J224" s="258"/>
      <c r="K224" s="259"/>
      <c r="L224" s="289"/>
      <c r="M224" s="289"/>
      <c r="N224" s="259"/>
    </row>
    <row r="225" ht="19.5" customHeight="1">
      <c r="A225" s="147">
        <v>5.0</v>
      </c>
      <c r="B225" s="148" t="s">
        <v>21</v>
      </c>
      <c r="C225" s="259"/>
      <c r="D225" s="259"/>
      <c r="E225" s="259"/>
      <c r="F225" s="423"/>
      <c r="G225" s="289"/>
      <c r="H225" s="259"/>
      <c r="I225" s="258"/>
      <c r="J225" s="258"/>
      <c r="K225" s="259"/>
      <c r="L225" s="289"/>
      <c r="M225" s="289"/>
      <c r="N225" s="259"/>
    </row>
    <row r="226" ht="19.5" customHeight="1">
      <c r="A226" s="147">
        <v>6.0</v>
      </c>
      <c r="B226" s="148" t="s">
        <v>22</v>
      </c>
      <c r="C226" s="259"/>
      <c r="D226" s="259"/>
      <c r="E226" s="259"/>
      <c r="F226" s="423"/>
      <c r="G226" s="289"/>
      <c r="H226" s="259"/>
      <c r="I226" s="258"/>
      <c r="J226" s="258"/>
      <c r="K226" s="259"/>
      <c r="L226" s="289"/>
      <c r="M226" s="289"/>
      <c r="N226" s="259"/>
    </row>
    <row r="227" ht="19.5" customHeight="1">
      <c r="A227" s="147">
        <v>7.0</v>
      </c>
      <c r="B227" s="148" t="s">
        <v>23</v>
      </c>
      <c r="C227" s="259"/>
      <c r="D227" s="259"/>
      <c r="E227" s="259"/>
      <c r="F227" s="423"/>
      <c r="G227" s="289"/>
      <c r="H227" s="259"/>
      <c r="I227" s="258"/>
      <c r="J227" s="258"/>
      <c r="K227" s="259"/>
      <c r="L227" s="289"/>
      <c r="M227" s="289"/>
      <c r="N227" s="259"/>
    </row>
    <row r="228" ht="19.5" customHeight="1">
      <c r="A228" s="147">
        <v>8.0</v>
      </c>
      <c r="B228" s="148" t="s">
        <v>24</v>
      </c>
      <c r="C228" s="259"/>
      <c r="D228" s="259"/>
      <c r="E228" s="259"/>
      <c r="F228" s="423"/>
      <c r="G228" s="289"/>
      <c r="H228" s="259"/>
      <c r="I228" s="258"/>
      <c r="J228" s="258"/>
      <c r="K228" s="259"/>
      <c r="L228" s="289"/>
      <c r="M228" s="289"/>
      <c r="N228" s="259"/>
    </row>
    <row r="229" ht="19.5" customHeight="1">
      <c r="A229" s="147">
        <v>9.0</v>
      </c>
      <c r="B229" s="148" t="s">
        <v>25</v>
      </c>
      <c r="C229" s="259"/>
      <c r="D229" s="259"/>
      <c r="E229" s="149"/>
      <c r="F229" s="423"/>
      <c r="G229" s="289"/>
      <c r="H229" s="259"/>
      <c r="I229" s="258"/>
      <c r="J229" s="258"/>
      <c r="K229" s="259"/>
      <c r="L229" s="289"/>
      <c r="M229" s="289"/>
      <c r="N229" s="259"/>
    </row>
    <row r="230" ht="19.5" customHeight="1">
      <c r="A230" s="147">
        <v>10.0</v>
      </c>
      <c r="B230" s="148" t="s">
        <v>26</v>
      </c>
      <c r="C230" s="259"/>
      <c r="D230" s="259"/>
      <c r="E230" s="149"/>
      <c r="F230" s="423"/>
      <c r="G230" s="289"/>
      <c r="H230" s="259"/>
      <c r="I230" s="258"/>
      <c r="J230" s="258"/>
      <c r="K230" s="259"/>
      <c r="L230" s="289"/>
      <c r="M230" s="289"/>
      <c r="N230" s="259"/>
    </row>
    <row r="231" ht="19.5" customHeight="1">
      <c r="A231" s="147">
        <v>11.0</v>
      </c>
      <c r="B231" s="148" t="s">
        <v>27</v>
      </c>
      <c r="C231" s="259"/>
      <c r="D231" s="259"/>
      <c r="E231" s="149"/>
      <c r="F231" s="423"/>
      <c r="G231" s="289"/>
      <c r="H231" s="259"/>
      <c r="I231" s="258"/>
      <c r="J231" s="258"/>
      <c r="K231" s="259"/>
      <c r="L231" s="289"/>
      <c r="M231" s="289"/>
      <c r="N231" s="259"/>
    </row>
    <row r="232" ht="19.5" customHeight="1">
      <c r="A232" s="147">
        <v>12.0</v>
      </c>
      <c r="B232" s="148" t="s">
        <v>28</v>
      </c>
      <c r="C232" s="259"/>
      <c r="D232" s="259"/>
      <c r="E232" s="149"/>
      <c r="F232" s="423"/>
      <c r="G232" s="289"/>
      <c r="H232" s="259"/>
      <c r="I232" s="258"/>
      <c r="J232" s="258"/>
      <c r="K232" s="259"/>
      <c r="L232" s="289"/>
      <c r="M232" s="289"/>
      <c r="N232" s="259"/>
    </row>
    <row r="233" ht="19.5" customHeight="1">
      <c r="A233" s="147">
        <v>13.0</v>
      </c>
      <c r="B233" s="148" t="s">
        <v>29</v>
      </c>
      <c r="C233" s="259"/>
      <c r="D233" s="259"/>
      <c r="E233" s="149"/>
      <c r="F233" s="423"/>
      <c r="G233" s="289"/>
      <c r="H233" s="259"/>
      <c r="I233" s="258"/>
      <c r="J233" s="258"/>
      <c r="K233" s="259"/>
      <c r="L233" s="289"/>
      <c r="M233" s="289"/>
      <c r="N233" s="259"/>
    </row>
    <row r="234" ht="19.5" customHeight="1">
      <c r="A234" s="147">
        <v>14.0</v>
      </c>
      <c r="B234" s="148" t="s">
        <v>30</v>
      </c>
      <c r="C234" s="259"/>
      <c r="D234" s="259"/>
      <c r="E234" s="149"/>
      <c r="F234" s="423"/>
      <c r="G234" s="289"/>
      <c r="H234" s="259"/>
      <c r="I234" s="258"/>
      <c r="J234" s="258"/>
      <c r="K234" s="259"/>
      <c r="L234" s="289"/>
      <c r="M234" s="289"/>
      <c r="N234" s="259"/>
    </row>
    <row r="235" ht="19.5" customHeight="1">
      <c r="A235" s="147">
        <v>15.0</v>
      </c>
      <c r="B235" s="148" t="s">
        <v>31</v>
      </c>
      <c r="C235" s="259"/>
      <c r="D235" s="259"/>
      <c r="E235" s="149"/>
      <c r="F235" s="423"/>
      <c r="G235" s="289"/>
      <c r="H235" s="259"/>
      <c r="I235" s="258"/>
      <c r="J235" s="258"/>
      <c r="K235" s="259"/>
      <c r="L235" s="289"/>
      <c r="M235" s="289"/>
      <c r="N235" s="259"/>
    </row>
    <row r="236" ht="19.5" customHeight="1">
      <c r="A236" s="147">
        <v>16.0</v>
      </c>
      <c r="B236" s="148" t="s">
        <v>32</v>
      </c>
      <c r="C236" s="259"/>
      <c r="D236" s="259"/>
      <c r="E236" s="149"/>
      <c r="F236" s="423"/>
      <c r="G236" s="289"/>
      <c r="H236" s="259"/>
      <c r="I236" s="258"/>
      <c r="J236" s="258"/>
      <c r="K236" s="259"/>
      <c r="L236" s="289"/>
      <c r="M236" s="289"/>
      <c r="N236" s="259"/>
    </row>
    <row r="237" ht="19.5" customHeight="1">
      <c r="A237" s="147">
        <v>17.0</v>
      </c>
      <c r="B237" s="148" t="s">
        <v>33</v>
      </c>
      <c r="C237" s="259"/>
      <c r="D237" s="259"/>
      <c r="E237" s="149"/>
      <c r="F237" s="423"/>
      <c r="G237" s="289"/>
      <c r="H237" s="259"/>
      <c r="I237" s="258"/>
      <c r="J237" s="258"/>
      <c r="K237" s="259"/>
      <c r="L237" s="289"/>
      <c r="M237" s="289"/>
      <c r="N237" s="259"/>
    </row>
    <row r="238" ht="19.5" customHeight="1">
      <c r="A238" s="147">
        <v>18.0</v>
      </c>
      <c r="B238" s="148" t="s">
        <v>34</v>
      </c>
      <c r="C238" s="259"/>
      <c r="D238" s="259"/>
      <c r="E238" s="149"/>
      <c r="F238" s="423"/>
      <c r="G238" s="289"/>
      <c r="H238" s="259"/>
      <c r="I238" s="258"/>
      <c r="J238" s="258"/>
      <c r="K238" s="259"/>
      <c r="L238" s="289"/>
      <c r="M238" s="289"/>
      <c r="N238" s="259"/>
    </row>
    <row r="239" ht="19.5" customHeight="1">
      <c r="A239" s="147">
        <v>19.0</v>
      </c>
      <c r="B239" s="358" t="s">
        <v>35</v>
      </c>
      <c r="C239" s="259"/>
      <c r="D239" s="259"/>
      <c r="E239" s="149"/>
      <c r="F239" s="423"/>
      <c r="G239" s="289"/>
      <c r="H239" s="259"/>
      <c r="I239" s="258"/>
      <c r="J239" s="258"/>
      <c r="K239" s="259"/>
      <c r="L239" s="289"/>
      <c r="M239" s="289"/>
      <c r="N239" s="259"/>
    </row>
    <row r="240" ht="19.5" customHeight="1">
      <c r="A240" s="171" t="s">
        <v>36</v>
      </c>
      <c r="B240" s="21"/>
      <c r="C240" s="172">
        <f t="shared" ref="C240:F240" si="61">SUM(C221:C239)</f>
        <v>0</v>
      </c>
      <c r="D240" s="172">
        <f t="shared" si="61"/>
        <v>0</v>
      </c>
      <c r="E240" s="174">
        <f t="shared" si="61"/>
        <v>0</v>
      </c>
      <c r="F240" s="401">
        <f t="shared" si="61"/>
        <v>0</v>
      </c>
      <c r="G240" s="174">
        <f>SUM(G222:G239)</f>
        <v>0</v>
      </c>
      <c r="H240" s="174">
        <f t="shared" ref="H240:J240" si="62">SUM(H221:H239)</f>
        <v>0</v>
      </c>
      <c r="I240" s="174">
        <f t="shared" si="62"/>
        <v>0</v>
      </c>
      <c r="J240" s="174">
        <f t="shared" si="62"/>
        <v>0</v>
      </c>
      <c r="K240" s="285">
        <f>I240-J240</f>
        <v>0</v>
      </c>
      <c r="L240" s="174">
        <f>SUM(L221:L239)</f>
        <v>0</v>
      </c>
      <c r="M240" s="172">
        <f>SUM(M222:M239)</f>
        <v>0</v>
      </c>
      <c r="N240" s="173">
        <f>L240-M240</f>
        <v>0</v>
      </c>
    </row>
    <row r="241" ht="19.5" customHeight="1">
      <c r="F241" s="449"/>
    </row>
    <row r="242" ht="19.5" customHeight="1">
      <c r="F242" s="449"/>
    </row>
    <row r="243" ht="19.5" customHeight="1">
      <c r="F243" s="449"/>
    </row>
    <row r="244" ht="19.5" customHeight="1">
      <c r="F244" s="449"/>
    </row>
    <row r="245" ht="19.5" customHeight="1">
      <c r="F245" s="449"/>
    </row>
    <row r="246" ht="19.5" customHeight="1">
      <c r="F246" s="449"/>
    </row>
    <row r="247" ht="19.5" customHeight="1">
      <c r="F247" s="449"/>
    </row>
    <row r="248" ht="19.5" customHeight="1">
      <c r="F248" s="449"/>
    </row>
    <row r="249" ht="19.5" customHeight="1">
      <c r="F249" s="449"/>
    </row>
    <row r="250" ht="19.5" customHeight="1">
      <c r="F250" s="449"/>
    </row>
    <row r="251" ht="19.5" customHeight="1">
      <c r="F251" s="449"/>
    </row>
    <row r="252" ht="19.5" customHeight="1">
      <c r="F252" s="449"/>
    </row>
    <row r="253" ht="19.5" customHeight="1">
      <c r="F253" s="449"/>
    </row>
    <row r="254" ht="19.5" customHeight="1">
      <c r="F254" s="449"/>
    </row>
    <row r="255" ht="19.5" customHeight="1">
      <c r="F255" s="449"/>
    </row>
    <row r="256" ht="19.5" customHeight="1">
      <c r="F256" s="449"/>
    </row>
    <row r="257" ht="19.5" customHeight="1">
      <c r="F257" s="449"/>
    </row>
    <row r="258" ht="19.5" customHeight="1">
      <c r="F258" s="449"/>
    </row>
    <row r="259" ht="19.5" customHeight="1">
      <c r="F259" s="449"/>
    </row>
    <row r="260" ht="19.5" customHeight="1">
      <c r="F260" s="449"/>
    </row>
    <row r="261" ht="19.5" customHeight="1">
      <c r="F261" s="449"/>
    </row>
    <row r="262" ht="19.5" customHeight="1">
      <c r="F262" s="449"/>
    </row>
    <row r="263" ht="19.5" customHeight="1">
      <c r="F263" s="449"/>
    </row>
    <row r="264" ht="19.5" customHeight="1">
      <c r="F264" s="449"/>
    </row>
    <row r="265" ht="19.5" customHeight="1">
      <c r="F265" s="449"/>
    </row>
    <row r="266" ht="19.5" customHeight="1">
      <c r="F266" s="449"/>
    </row>
    <row r="267" ht="19.5" customHeight="1">
      <c r="F267" s="449"/>
    </row>
    <row r="268" ht="19.5" customHeight="1">
      <c r="F268" s="449"/>
    </row>
    <row r="269" ht="19.5" customHeight="1">
      <c r="F269" s="449"/>
    </row>
    <row r="270" ht="19.5" customHeight="1">
      <c r="F270" s="449"/>
    </row>
    <row r="271" ht="19.5" customHeight="1">
      <c r="F271" s="449"/>
    </row>
    <row r="272" ht="19.5" customHeight="1">
      <c r="F272" s="449"/>
    </row>
    <row r="273" ht="19.5" customHeight="1">
      <c r="F273" s="449"/>
    </row>
    <row r="274" ht="19.5" customHeight="1">
      <c r="F274" s="449"/>
    </row>
    <row r="275" ht="19.5" customHeight="1">
      <c r="F275" s="449"/>
    </row>
    <row r="276" ht="19.5" customHeight="1">
      <c r="F276" s="449"/>
    </row>
    <row r="277" ht="19.5" customHeight="1">
      <c r="F277" s="449"/>
    </row>
    <row r="278" ht="19.5" customHeight="1">
      <c r="F278" s="449"/>
    </row>
    <row r="279" ht="19.5" customHeight="1">
      <c r="F279" s="449"/>
    </row>
    <row r="280" ht="19.5" customHeight="1">
      <c r="F280" s="449"/>
    </row>
    <row r="281" ht="19.5" customHeight="1">
      <c r="F281" s="449"/>
    </row>
    <row r="282" ht="19.5" customHeight="1">
      <c r="F282" s="449"/>
    </row>
    <row r="283" ht="19.5" customHeight="1">
      <c r="F283" s="449"/>
    </row>
    <row r="284" ht="19.5" customHeight="1">
      <c r="F284" s="449"/>
    </row>
    <row r="285" ht="19.5" customHeight="1">
      <c r="F285" s="449"/>
    </row>
    <row r="286" ht="19.5" customHeight="1">
      <c r="F286" s="449"/>
    </row>
    <row r="287" ht="19.5" customHeight="1">
      <c r="F287" s="449"/>
    </row>
    <row r="288" ht="19.5" customHeight="1">
      <c r="F288" s="449"/>
    </row>
    <row r="289" ht="19.5" customHeight="1">
      <c r="F289" s="449"/>
    </row>
    <row r="290" ht="19.5" customHeight="1">
      <c r="F290" s="449"/>
    </row>
    <row r="291" ht="19.5" customHeight="1">
      <c r="F291" s="449"/>
    </row>
    <row r="292" ht="19.5" customHeight="1">
      <c r="F292" s="449"/>
    </row>
    <row r="293" ht="19.5" customHeight="1">
      <c r="F293" s="449"/>
    </row>
    <row r="294" ht="19.5" customHeight="1">
      <c r="F294" s="449"/>
    </row>
    <row r="295" ht="19.5" customHeight="1">
      <c r="F295" s="449"/>
    </row>
    <row r="296" ht="19.5" customHeight="1">
      <c r="F296" s="449"/>
    </row>
    <row r="297" ht="19.5" customHeight="1">
      <c r="F297" s="449"/>
    </row>
    <row r="298" ht="19.5" customHeight="1">
      <c r="F298" s="449"/>
    </row>
    <row r="299" ht="19.5" customHeight="1">
      <c r="F299" s="449"/>
    </row>
    <row r="300" ht="19.5" customHeight="1">
      <c r="F300" s="449"/>
    </row>
    <row r="301" ht="19.5" customHeight="1">
      <c r="F301" s="449"/>
    </row>
    <row r="302" ht="19.5" customHeight="1">
      <c r="F302" s="449"/>
    </row>
    <row r="303" ht="19.5" customHeight="1">
      <c r="F303" s="449"/>
    </row>
    <row r="304" ht="19.5" customHeight="1">
      <c r="F304" s="449"/>
    </row>
    <row r="305" ht="19.5" customHeight="1">
      <c r="F305" s="449"/>
    </row>
    <row r="306" ht="19.5" customHeight="1">
      <c r="F306" s="449"/>
    </row>
    <row r="307" ht="19.5" customHeight="1">
      <c r="F307" s="449"/>
    </row>
    <row r="308" ht="19.5" customHeight="1">
      <c r="F308" s="449"/>
    </row>
    <row r="309" ht="19.5" customHeight="1">
      <c r="F309" s="449"/>
    </row>
    <row r="310" ht="19.5" customHeight="1">
      <c r="F310" s="449"/>
    </row>
    <row r="311" ht="19.5" customHeight="1">
      <c r="F311" s="449"/>
    </row>
    <row r="312" ht="19.5" customHeight="1">
      <c r="F312" s="449"/>
    </row>
    <row r="313" ht="19.5" customHeight="1">
      <c r="F313" s="449"/>
    </row>
    <row r="314" ht="19.5" customHeight="1">
      <c r="F314" s="449"/>
    </row>
    <row r="315" ht="19.5" customHeight="1">
      <c r="F315" s="449"/>
    </row>
    <row r="316" ht="19.5" customHeight="1">
      <c r="F316" s="449"/>
    </row>
    <row r="317" ht="19.5" customHeight="1">
      <c r="F317" s="449"/>
    </row>
    <row r="318" ht="19.5" customHeight="1">
      <c r="F318" s="449"/>
    </row>
    <row r="319" ht="19.5" customHeight="1">
      <c r="F319" s="449"/>
    </row>
    <row r="320" ht="19.5" customHeight="1">
      <c r="F320" s="449"/>
    </row>
    <row r="321" ht="19.5" customHeight="1">
      <c r="F321" s="449"/>
    </row>
    <row r="322" ht="19.5" customHeight="1">
      <c r="F322" s="449"/>
    </row>
    <row r="323" ht="19.5" customHeight="1">
      <c r="F323" s="449"/>
    </row>
    <row r="324" ht="19.5" customHeight="1">
      <c r="F324" s="449"/>
    </row>
    <row r="325" ht="19.5" customHeight="1">
      <c r="F325" s="449"/>
    </row>
    <row r="326" ht="19.5" customHeight="1">
      <c r="F326" s="449"/>
    </row>
    <row r="327" ht="19.5" customHeight="1">
      <c r="F327" s="449"/>
    </row>
    <row r="328" ht="19.5" customHeight="1">
      <c r="F328" s="449"/>
    </row>
    <row r="329" ht="19.5" customHeight="1">
      <c r="F329" s="449"/>
    </row>
    <row r="330" ht="19.5" customHeight="1">
      <c r="F330" s="449"/>
    </row>
    <row r="331" ht="19.5" customHeight="1">
      <c r="F331" s="449"/>
    </row>
    <row r="332" ht="19.5" customHeight="1">
      <c r="F332" s="449"/>
    </row>
    <row r="333" ht="19.5" customHeight="1">
      <c r="F333" s="449"/>
    </row>
    <row r="334" ht="19.5" customHeight="1">
      <c r="F334" s="449"/>
    </row>
    <row r="335" ht="19.5" customHeight="1">
      <c r="F335" s="449"/>
    </row>
    <row r="336" ht="19.5" customHeight="1">
      <c r="F336" s="449"/>
    </row>
    <row r="337" ht="19.5" customHeight="1">
      <c r="F337" s="449"/>
    </row>
    <row r="338" ht="19.5" customHeight="1">
      <c r="F338" s="449"/>
    </row>
    <row r="339" ht="19.5" customHeight="1">
      <c r="F339" s="449"/>
    </row>
    <row r="340" ht="19.5" customHeight="1">
      <c r="F340" s="449"/>
    </row>
    <row r="341" ht="19.5" customHeight="1">
      <c r="F341" s="449"/>
    </row>
    <row r="342" ht="19.5" customHeight="1">
      <c r="F342" s="449"/>
    </row>
    <row r="343" ht="19.5" customHeight="1">
      <c r="F343" s="449"/>
    </row>
    <row r="344" ht="19.5" customHeight="1">
      <c r="F344" s="449"/>
    </row>
    <row r="345" ht="19.5" customHeight="1">
      <c r="F345" s="449"/>
    </row>
    <row r="346" ht="19.5" customHeight="1">
      <c r="F346" s="449"/>
    </row>
    <row r="347" ht="19.5" customHeight="1">
      <c r="F347" s="449"/>
    </row>
    <row r="348" ht="19.5" customHeight="1">
      <c r="F348" s="449"/>
    </row>
    <row r="349" ht="19.5" customHeight="1">
      <c r="F349" s="449"/>
    </row>
    <row r="350" ht="19.5" customHeight="1">
      <c r="F350" s="449"/>
    </row>
    <row r="351" ht="19.5" customHeight="1">
      <c r="F351" s="449"/>
    </row>
    <row r="352" ht="19.5" customHeight="1">
      <c r="F352" s="449"/>
    </row>
    <row r="353" ht="19.5" customHeight="1">
      <c r="F353" s="449"/>
    </row>
    <row r="354" ht="19.5" customHeight="1">
      <c r="F354" s="449"/>
    </row>
    <row r="355" ht="19.5" customHeight="1">
      <c r="F355" s="449"/>
    </row>
    <row r="356" ht="19.5" customHeight="1">
      <c r="F356" s="449"/>
    </row>
    <row r="357" ht="19.5" customHeight="1">
      <c r="F357" s="449"/>
    </row>
    <row r="358" ht="19.5" customHeight="1">
      <c r="F358" s="449"/>
    </row>
    <row r="359" ht="19.5" customHeight="1">
      <c r="F359" s="449"/>
    </row>
    <row r="360" ht="19.5" customHeight="1">
      <c r="F360" s="449"/>
    </row>
    <row r="361" ht="19.5" customHeight="1">
      <c r="F361" s="449"/>
    </row>
    <row r="362" ht="19.5" customHeight="1">
      <c r="F362" s="449"/>
    </row>
    <row r="363" ht="19.5" customHeight="1">
      <c r="F363" s="449"/>
    </row>
    <row r="364" ht="19.5" customHeight="1">
      <c r="F364" s="449"/>
    </row>
    <row r="365" ht="19.5" customHeight="1">
      <c r="F365" s="449"/>
    </row>
    <row r="366" ht="19.5" customHeight="1">
      <c r="F366" s="449"/>
    </row>
    <row r="367" ht="19.5" customHeight="1">
      <c r="F367" s="449"/>
    </row>
    <row r="368" ht="19.5" customHeight="1">
      <c r="F368" s="449"/>
    </row>
    <row r="369" ht="19.5" customHeight="1">
      <c r="F369" s="449"/>
    </row>
    <row r="370" ht="19.5" customHeight="1">
      <c r="F370" s="449"/>
    </row>
    <row r="371" ht="19.5" customHeight="1">
      <c r="F371" s="449"/>
    </row>
    <row r="372" ht="19.5" customHeight="1">
      <c r="F372" s="449"/>
    </row>
    <row r="373" ht="19.5" customHeight="1">
      <c r="F373" s="449"/>
    </row>
    <row r="374" ht="19.5" customHeight="1">
      <c r="F374" s="449"/>
    </row>
    <row r="375" ht="19.5" customHeight="1">
      <c r="F375" s="449"/>
    </row>
    <row r="376" ht="19.5" customHeight="1">
      <c r="F376" s="449"/>
    </row>
    <row r="377" ht="19.5" customHeight="1">
      <c r="F377" s="449"/>
    </row>
    <row r="378" ht="19.5" customHeight="1">
      <c r="F378" s="449"/>
    </row>
    <row r="379" ht="19.5" customHeight="1">
      <c r="F379" s="449"/>
    </row>
    <row r="380" ht="19.5" customHeight="1">
      <c r="F380" s="449"/>
    </row>
    <row r="381" ht="19.5" customHeight="1">
      <c r="F381" s="449"/>
    </row>
    <row r="382" ht="19.5" customHeight="1">
      <c r="F382" s="449"/>
    </row>
    <row r="383" ht="19.5" customHeight="1">
      <c r="F383" s="449"/>
    </row>
    <row r="384" ht="19.5" customHeight="1">
      <c r="F384" s="449"/>
    </row>
    <row r="385" ht="19.5" customHeight="1">
      <c r="F385" s="449"/>
    </row>
    <row r="386" ht="19.5" customHeight="1">
      <c r="F386" s="449"/>
    </row>
    <row r="387" ht="19.5" customHeight="1">
      <c r="F387" s="449"/>
    </row>
    <row r="388" ht="19.5" customHeight="1">
      <c r="F388" s="449"/>
    </row>
    <row r="389" ht="19.5" customHeight="1">
      <c r="F389" s="449"/>
    </row>
    <row r="390" ht="19.5" customHeight="1">
      <c r="F390" s="449"/>
    </row>
    <row r="391" ht="19.5" customHeight="1">
      <c r="F391" s="449"/>
    </row>
    <row r="392" ht="19.5" customHeight="1">
      <c r="F392" s="449"/>
    </row>
    <row r="393" ht="19.5" customHeight="1">
      <c r="F393" s="449"/>
    </row>
    <row r="394" ht="19.5" customHeight="1">
      <c r="F394" s="449"/>
    </row>
    <row r="395" ht="19.5" customHeight="1">
      <c r="F395" s="449"/>
    </row>
    <row r="396" ht="19.5" customHeight="1">
      <c r="F396" s="449"/>
    </row>
    <row r="397" ht="19.5" customHeight="1">
      <c r="F397" s="449"/>
    </row>
    <row r="398" ht="19.5" customHeight="1">
      <c r="F398" s="449"/>
    </row>
    <row r="399" ht="19.5" customHeight="1">
      <c r="F399" s="449"/>
    </row>
    <row r="400" ht="19.5" customHeight="1">
      <c r="F400" s="449"/>
    </row>
    <row r="401" ht="19.5" customHeight="1">
      <c r="F401" s="449"/>
    </row>
    <row r="402" ht="19.5" customHeight="1">
      <c r="F402" s="449"/>
    </row>
    <row r="403" ht="19.5" customHeight="1">
      <c r="F403" s="449"/>
    </row>
    <row r="404" ht="19.5" customHeight="1">
      <c r="F404" s="449"/>
    </row>
    <row r="405" ht="19.5" customHeight="1">
      <c r="F405" s="449"/>
    </row>
    <row r="406" ht="19.5" customHeight="1">
      <c r="F406" s="449"/>
    </row>
    <row r="407" ht="19.5" customHeight="1">
      <c r="F407" s="449"/>
    </row>
    <row r="408" ht="19.5" customHeight="1">
      <c r="F408" s="449"/>
    </row>
    <row r="409" ht="19.5" customHeight="1">
      <c r="F409" s="449"/>
    </row>
    <row r="410" ht="19.5" customHeight="1">
      <c r="F410" s="449"/>
    </row>
    <row r="411" ht="19.5" customHeight="1">
      <c r="F411" s="449"/>
    </row>
    <row r="412" ht="19.5" customHeight="1">
      <c r="F412" s="449"/>
    </row>
    <row r="413" ht="19.5" customHeight="1">
      <c r="F413" s="449"/>
    </row>
    <row r="414" ht="19.5" customHeight="1">
      <c r="F414" s="449"/>
    </row>
    <row r="415" ht="19.5" customHeight="1">
      <c r="F415" s="449"/>
    </row>
    <row r="416" ht="19.5" customHeight="1">
      <c r="F416" s="449"/>
    </row>
    <row r="417" ht="19.5" customHeight="1">
      <c r="F417" s="449"/>
    </row>
    <row r="418" ht="19.5" customHeight="1">
      <c r="F418" s="449"/>
    </row>
    <row r="419" ht="19.5" customHeight="1">
      <c r="F419" s="449"/>
    </row>
    <row r="420" ht="19.5" customHeight="1">
      <c r="F420" s="449"/>
    </row>
    <row r="421" ht="19.5" customHeight="1">
      <c r="F421" s="449"/>
    </row>
    <row r="422" ht="19.5" customHeight="1">
      <c r="F422" s="449"/>
    </row>
    <row r="423" ht="19.5" customHeight="1">
      <c r="F423" s="449"/>
    </row>
    <row r="424" ht="19.5" customHeight="1">
      <c r="F424" s="449"/>
    </row>
    <row r="425" ht="19.5" customHeight="1">
      <c r="F425" s="449"/>
    </row>
    <row r="426" ht="19.5" customHeight="1">
      <c r="F426" s="449"/>
    </row>
    <row r="427" ht="19.5" customHeight="1">
      <c r="F427" s="449"/>
    </row>
    <row r="428" ht="19.5" customHeight="1">
      <c r="F428" s="449"/>
    </row>
    <row r="429" ht="19.5" customHeight="1">
      <c r="F429" s="449"/>
    </row>
    <row r="430" ht="19.5" customHeight="1">
      <c r="F430" s="449"/>
    </row>
    <row r="431" ht="19.5" customHeight="1">
      <c r="F431" s="449"/>
    </row>
    <row r="432" ht="19.5" customHeight="1">
      <c r="F432" s="449"/>
    </row>
    <row r="433" ht="19.5" customHeight="1">
      <c r="F433" s="449"/>
    </row>
    <row r="434" ht="19.5" customHeight="1">
      <c r="F434" s="449"/>
    </row>
    <row r="435" ht="19.5" customHeight="1">
      <c r="F435" s="449"/>
    </row>
    <row r="436" ht="19.5" customHeight="1">
      <c r="F436" s="449"/>
    </row>
    <row r="437" ht="19.5" customHeight="1">
      <c r="F437" s="449"/>
    </row>
    <row r="438" ht="19.5" customHeight="1">
      <c r="F438" s="449"/>
    </row>
    <row r="439" ht="19.5" customHeight="1">
      <c r="F439" s="449"/>
    </row>
    <row r="440" ht="19.5" customHeight="1">
      <c r="F440" s="449"/>
    </row>
    <row r="441" ht="19.5" customHeight="1">
      <c r="F441" s="449"/>
    </row>
    <row r="442" ht="19.5" customHeight="1">
      <c r="F442" s="449"/>
    </row>
    <row r="443" ht="19.5" customHeight="1">
      <c r="F443" s="449"/>
    </row>
    <row r="444" ht="19.5" customHeight="1">
      <c r="F444" s="449"/>
    </row>
    <row r="445" ht="19.5" customHeight="1">
      <c r="F445" s="449"/>
    </row>
    <row r="446" ht="19.5" customHeight="1">
      <c r="F446" s="449"/>
    </row>
    <row r="447" ht="19.5" customHeight="1">
      <c r="F447" s="449"/>
    </row>
    <row r="448" ht="19.5" customHeight="1">
      <c r="F448" s="449"/>
    </row>
    <row r="449" ht="19.5" customHeight="1">
      <c r="F449" s="449"/>
    </row>
    <row r="450" ht="19.5" customHeight="1">
      <c r="F450" s="449"/>
    </row>
    <row r="451" ht="19.5" customHeight="1">
      <c r="F451" s="449"/>
    </row>
    <row r="452" ht="19.5" customHeight="1">
      <c r="F452" s="449"/>
    </row>
    <row r="453" ht="19.5" customHeight="1">
      <c r="F453" s="449"/>
    </row>
    <row r="454" ht="19.5" customHeight="1">
      <c r="F454" s="449"/>
    </row>
    <row r="455" ht="19.5" customHeight="1">
      <c r="F455" s="449"/>
    </row>
    <row r="456" ht="19.5" customHeight="1">
      <c r="F456" s="449"/>
    </row>
    <row r="457" ht="19.5" customHeight="1">
      <c r="F457" s="449"/>
    </row>
    <row r="458" ht="19.5" customHeight="1">
      <c r="F458" s="449"/>
    </row>
    <row r="459" ht="19.5" customHeight="1">
      <c r="F459" s="449"/>
    </row>
    <row r="460" ht="19.5" customHeight="1">
      <c r="F460" s="449"/>
    </row>
    <row r="461" ht="19.5" customHeight="1">
      <c r="F461" s="449"/>
    </row>
    <row r="462" ht="19.5" customHeight="1">
      <c r="F462" s="449"/>
    </row>
    <row r="463" ht="19.5" customHeight="1">
      <c r="F463" s="449"/>
    </row>
    <row r="464" ht="19.5" customHeight="1">
      <c r="F464" s="449"/>
    </row>
    <row r="465" ht="19.5" customHeight="1">
      <c r="F465" s="449"/>
    </row>
    <row r="466" ht="19.5" customHeight="1">
      <c r="F466" s="449"/>
    </row>
    <row r="467" ht="19.5" customHeight="1">
      <c r="F467" s="449"/>
    </row>
    <row r="468" ht="19.5" customHeight="1">
      <c r="F468" s="449"/>
    </row>
    <row r="469" ht="19.5" customHeight="1">
      <c r="F469" s="449"/>
    </row>
    <row r="470" ht="19.5" customHeight="1">
      <c r="F470" s="449"/>
    </row>
    <row r="471" ht="19.5" customHeight="1">
      <c r="F471" s="449"/>
    </row>
    <row r="472" ht="19.5" customHeight="1">
      <c r="F472" s="449"/>
    </row>
    <row r="473" ht="19.5" customHeight="1">
      <c r="F473" s="449"/>
    </row>
    <row r="474" ht="19.5" customHeight="1">
      <c r="F474" s="449"/>
    </row>
    <row r="475" ht="19.5" customHeight="1">
      <c r="F475" s="449"/>
    </row>
    <row r="476" ht="19.5" customHeight="1">
      <c r="F476" s="449"/>
    </row>
    <row r="477" ht="19.5" customHeight="1">
      <c r="F477" s="449"/>
    </row>
    <row r="478" ht="19.5" customHeight="1">
      <c r="F478" s="449"/>
    </row>
    <row r="479" ht="19.5" customHeight="1">
      <c r="F479" s="449"/>
    </row>
    <row r="480" ht="19.5" customHeight="1">
      <c r="F480" s="449"/>
    </row>
    <row r="481" ht="19.5" customHeight="1">
      <c r="F481" s="449"/>
    </row>
    <row r="482" ht="19.5" customHeight="1">
      <c r="F482" s="449"/>
    </row>
    <row r="483" ht="19.5" customHeight="1">
      <c r="F483" s="449"/>
    </row>
    <row r="484" ht="19.5" customHeight="1">
      <c r="F484" s="449"/>
    </row>
    <row r="485" ht="19.5" customHeight="1">
      <c r="F485" s="449"/>
    </row>
    <row r="486" ht="19.5" customHeight="1">
      <c r="F486" s="449"/>
    </row>
    <row r="487" ht="19.5" customHeight="1">
      <c r="F487" s="449"/>
    </row>
    <row r="488" ht="19.5" customHeight="1">
      <c r="F488" s="449"/>
    </row>
    <row r="489" ht="19.5" customHeight="1">
      <c r="F489" s="449"/>
    </row>
    <row r="490" ht="19.5" customHeight="1">
      <c r="F490" s="449"/>
    </row>
    <row r="491" ht="19.5" customHeight="1">
      <c r="F491" s="449"/>
    </row>
    <row r="492" ht="19.5" customHeight="1">
      <c r="F492" s="449"/>
    </row>
    <row r="493" ht="19.5" customHeight="1">
      <c r="F493" s="449"/>
    </row>
    <row r="494" ht="19.5" customHeight="1">
      <c r="F494" s="449"/>
    </row>
    <row r="495" ht="19.5" customHeight="1">
      <c r="F495" s="449"/>
    </row>
    <row r="496" ht="19.5" customHeight="1">
      <c r="F496" s="449"/>
    </row>
    <row r="497" ht="19.5" customHeight="1">
      <c r="F497" s="449"/>
    </row>
    <row r="498" ht="19.5" customHeight="1">
      <c r="F498" s="449"/>
    </row>
    <row r="499" ht="19.5" customHeight="1">
      <c r="F499" s="449"/>
    </row>
    <row r="500" ht="19.5" customHeight="1">
      <c r="F500" s="449"/>
    </row>
    <row r="501" ht="19.5" customHeight="1">
      <c r="F501" s="449"/>
    </row>
    <row r="502" ht="19.5" customHeight="1">
      <c r="F502" s="449"/>
    </row>
    <row r="503" ht="19.5" customHeight="1">
      <c r="F503" s="449"/>
    </row>
    <row r="504" ht="19.5" customHeight="1">
      <c r="F504" s="449"/>
    </row>
    <row r="505" ht="19.5" customHeight="1">
      <c r="F505" s="449"/>
    </row>
    <row r="506" ht="19.5" customHeight="1">
      <c r="F506" s="449"/>
    </row>
    <row r="507" ht="19.5" customHeight="1">
      <c r="F507" s="449"/>
    </row>
    <row r="508" ht="19.5" customHeight="1">
      <c r="F508" s="449"/>
    </row>
    <row r="509" ht="19.5" customHeight="1">
      <c r="F509" s="449"/>
    </row>
    <row r="510" ht="19.5" customHeight="1">
      <c r="F510" s="449"/>
    </row>
    <row r="511" ht="19.5" customHeight="1">
      <c r="F511" s="449"/>
    </row>
    <row r="512" ht="19.5" customHeight="1">
      <c r="F512" s="449"/>
    </row>
    <row r="513" ht="19.5" customHeight="1">
      <c r="F513" s="449"/>
    </row>
    <row r="514" ht="19.5" customHeight="1">
      <c r="F514" s="449"/>
    </row>
    <row r="515" ht="19.5" customHeight="1">
      <c r="F515" s="449"/>
    </row>
    <row r="516" ht="19.5" customHeight="1">
      <c r="F516" s="449"/>
    </row>
    <row r="517" ht="19.5" customHeight="1">
      <c r="F517" s="449"/>
    </row>
    <row r="518" ht="19.5" customHeight="1">
      <c r="F518" s="449"/>
    </row>
    <row r="519" ht="19.5" customHeight="1">
      <c r="F519" s="449"/>
    </row>
    <row r="520" ht="19.5" customHeight="1">
      <c r="F520" s="449"/>
    </row>
    <row r="521" ht="19.5" customHeight="1">
      <c r="F521" s="449"/>
    </row>
    <row r="522" ht="19.5" customHeight="1">
      <c r="F522" s="449"/>
    </row>
    <row r="523" ht="19.5" customHeight="1">
      <c r="F523" s="449"/>
    </row>
    <row r="524" ht="19.5" customHeight="1">
      <c r="F524" s="449"/>
    </row>
    <row r="525" ht="19.5" customHeight="1">
      <c r="F525" s="449"/>
    </row>
    <row r="526" ht="19.5" customHeight="1">
      <c r="F526" s="449"/>
    </row>
    <row r="527" ht="19.5" customHeight="1">
      <c r="F527" s="449"/>
    </row>
    <row r="528" ht="19.5" customHeight="1">
      <c r="F528" s="449"/>
    </row>
    <row r="529" ht="19.5" customHeight="1">
      <c r="F529" s="449"/>
    </row>
    <row r="530" ht="19.5" customHeight="1">
      <c r="F530" s="449"/>
    </row>
    <row r="531" ht="19.5" customHeight="1">
      <c r="F531" s="449"/>
    </row>
    <row r="532" ht="19.5" customHeight="1">
      <c r="F532" s="449"/>
    </row>
    <row r="533" ht="19.5" customHeight="1">
      <c r="F533" s="449"/>
    </row>
    <row r="534" ht="19.5" customHeight="1">
      <c r="F534" s="449"/>
    </row>
    <row r="535" ht="19.5" customHeight="1">
      <c r="F535" s="449"/>
    </row>
    <row r="536" ht="19.5" customHeight="1">
      <c r="F536" s="449"/>
    </row>
    <row r="537" ht="19.5" customHeight="1">
      <c r="F537" s="449"/>
    </row>
    <row r="538" ht="19.5" customHeight="1">
      <c r="F538" s="449"/>
    </row>
    <row r="539" ht="19.5" customHeight="1">
      <c r="F539" s="449"/>
    </row>
    <row r="540" ht="19.5" customHeight="1">
      <c r="F540" s="449"/>
    </row>
    <row r="541" ht="19.5" customHeight="1">
      <c r="F541" s="449"/>
    </row>
    <row r="542" ht="19.5" customHeight="1">
      <c r="F542" s="449"/>
    </row>
    <row r="543" ht="19.5" customHeight="1">
      <c r="F543" s="449"/>
    </row>
    <row r="544" ht="19.5" customHeight="1">
      <c r="F544" s="449"/>
    </row>
    <row r="545" ht="19.5" customHeight="1">
      <c r="F545" s="449"/>
    </row>
    <row r="546" ht="19.5" customHeight="1">
      <c r="F546" s="449"/>
    </row>
    <row r="547" ht="19.5" customHeight="1">
      <c r="F547" s="449"/>
    </row>
    <row r="548" ht="19.5" customHeight="1">
      <c r="F548" s="449"/>
    </row>
    <row r="549" ht="19.5" customHeight="1">
      <c r="F549" s="449"/>
    </row>
    <row r="550" ht="19.5" customHeight="1">
      <c r="F550" s="449"/>
    </row>
    <row r="551" ht="19.5" customHeight="1">
      <c r="F551" s="449"/>
    </row>
    <row r="552" ht="19.5" customHeight="1">
      <c r="F552" s="449"/>
    </row>
    <row r="553" ht="19.5" customHeight="1">
      <c r="F553" s="449"/>
    </row>
    <row r="554" ht="19.5" customHeight="1">
      <c r="F554" s="449"/>
    </row>
    <row r="555" ht="19.5" customHeight="1">
      <c r="F555" s="449"/>
    </row>
    <row r="556" ht="19.5" customHeight="1">
      <c r="F556" s="449"/>
    </row>
    <row r="557" ht="19.5" customHeight="1">
      <c r="F557" s="449"/>
    </row>
    <row r="558" ht="19.5" customHeight="1">
      <c r="F558" s="449"/>
    </row>
    <row r="559" ht="19.5" customHeight="1">
      <c r="F559" s="449"/>
    </row>
    <row r="560" ht="19.5" customHeight="1">
      <c r="F560" s="449"/>
    </row>
    <row r="561" ht="19.5" customHeight="1">
      <c r="F561" s="449"/>
    </row>
    <row r="562" ht="19.5" customHeight="1">
      <c r="F562" s="449"/>
    </row>
    <row r="563" ht="19.5" customHeight="1">
      <c r="F563" s="449"/>
    </row>
    <row r="564" ht="19.5" customHeight="1">
      <c r="F564" s="449"/>
    </row>
    <row r="565" ht="19.5" customHeight="1">
      <c r="F565" s="449"/>
    </row>
    <row r="566" ht="19.5" customHeight="1">
      <c r="F566" s="449"/>
    </row>
    <row r="567" ht="19.5" customHeight="1">
      <c r="F567" s="449"/>
    </row>
    <row r="568" ht="19.5" customHeight="1">
      <c r="F568" s="449"/>
    </row>
    <row r="569" ht="19.5" customHeight="1">
      <c r="F569" s="449"/>
    </row>
    <row r="570" ht="19.5" customHeight="1">
      <c r="F570" s="449"/>
    </row>
    <row r="571" ht="19.5" customHeight="1">
      <c r="F571" s="449"/>
    </row>
    <row r="572" ht="19.5" customHeight="1">
      <c r="F572" s="449"/>
    </row>
    <row r="573" ht="19.5" customHeight="1">
      <c r="F573" s="449"/>
    </row>
    <row r="574" ht="19.5" customHeight="1">
      <c r="F574" s="449"/>
    </row>
    <row r="575" ht="19.5" customHeight="1">
      <c r="F575" s="449"/>
    </row>
    <row r="576" ht="19.5" customHeight="1">
      <c r="F576" s="449"/>
    </row>
    <row r="577" ht="19.5" customHeight="1">
      <c r="F577" s="449"/>
    </row>
    <row r="578" ht="19.5" customHeight="1">
      <c r="F578" s="449"/>
    </row>
    <row r="579" ht="19.5" customHeight="1">
      <c r="F579" s="449"/>
    </row>
    <row r="580" ht="19.5" customHeight="1">
      <c r="F580" s="449"/>
    </row>
    <row r="581" ht="19.5" customHeight="1">
      <c r="F581" s="449"/>
    </row>
    <row r="582" ht="19.5" customHeight="1">
      <c r="F582" s="449"/>
    </row>
    <row r="583" ht="19.5" customHeight="1">
      <c r="F583" s="449"/>
    </row>
    <row r="584" ht="19.5" customHeight="1">
      <c r="F584" s="449"/>
    </row>
    <row r="585" ht="19.5" customHeight="1">
      <c r="F585" s="449"/>
    </row>
    <row r="586" ht="19.5" customHeight="1">
      <c r="F586" s="449"/>
    </row>
    <row r="587" ht="19.5" customHeight="1">
      <c r="F587" s="449"/>
    </row>
    <row r="588" ht="19.5" customHeight="1">
      <c r="F588" s="449"/>
    </row>
    <row r="589" ht="19.5" customHeight="1">
      <c r="F589" s="449"/>
    </row>
    <row r="590" ht="19.5" customHeight="1">
      <c r="F590" s="449"/>
    </row>
    <row r="591" ht="19.5" customHeight="1">
      <c r="F591" s="449"/>
    </row>
    <row r="592" ht="19.5" customHeight="1">
      <c r="F592" s="449"/>
    </row>
    <row r="593" ht="19.5" customHeight="1">
      <c r="F593" s="449"/>
    </row>
    <row r="594" ht="19.5" customHeight="1">
      <c r="F594" s="449"/>
    </row>
    <row r="595" ht="19.5" customHeight="1">
      <c r="F595" s="449"/>
    </row>
    <row r="596" ht="19.5" customHeight="1">
      <c r="F596" s="449"/>
    </row>
    <row r="597" ht="19.5" customHeight="1">
      <c r="F597" s="449"/>
    </row>
    <row r="598" ht="19.5" customHeight="1">
      <c r="F598" s="449"/>
    </row>
    <row r="599" ht="19.5" customHeight="1">
      <c r="F599" s="449"/>
    </row>
    <row r="600" ht="19.5" customHeight="1">
      <c r="F600" s="449"/>
    </row>
    <row r="601" ht="19.5" customHeight="1">
      <c r="F601" s="449"/>
    </row>
    <row r="602" ht="19.5" customHeight="1">
      <c r="F602" s="449"/>
    </row>
    <row r="603" ht="19.5" customHeight="1">
      <c r="F603" s="449"/>
    </row>
    <row r="604" ht="19.5" customHeight="1">
      <c r="F604" s="449"/>
    </row>
    <row r="605" ht="19.5" customHeight="1">
      <c r="F605" s="449"/>
    </row>
    <row r="606" ht="19.5" customHeight="1">
      <c r="F606" s="449"/>
    </row>
    <row r="607" ht="19.5" customHeight="1">
      <c r="F607" s="449"/>
    </row>
    <row r="608" ht="19.5" customHeight="1">
      <c r="F608" s="449"/>
    </row>
    <row r="609" ht="19.5" customHeight="1">
      <c r="F609" s="449"/>
    </row>
    <row r="610" ht="19.5" customHeight="1">
      <c r="F610" s="449"/>
    </row>
    <row r="611" ht="19.5" customHeight="1">
      <c r="F611" s="449"/>
    </row>
    <row r="612" ht="19.5" customHeight="1">
      <c r="F612" s="449"/>
    </row>
    <row r="613" ht="19.5" customHeight="1">
      <c r="F613" s="449"/>
    </row>
    <row r="614" ht="19.5" customHeight="1">
      <c r="F614" s="449"/>
    </row>
    <row r="615" ht="19.5" customHeight="1">
      <c r="F615" s="449"/>
    </row>
    <row r="616" ht="19.5" customHeight="1">
      <c r="F616" s="449"/>
    </row>
  </sheetData>
  <mergeCells count="126">
    <mergeCell ref="P3:P9"/>
    <mergeCell ref="Q3:Q9"/>
    <mergeCell ref="R3:U7"/>
    <mergeCell ref="R8:U8"/>
    <mergeCell ref="R10:T10"/>
    <mergeCell ref="I4:K4"/>
    <mergeCell ref="L4:N4"/>
    <mergeCell ref="A1:N1"/>
    <mergeCell ref="A2:N2"/>
    <mergeCell ref="A3:B5"/>
    <mergeCell ref="C3:E3"/>
    <mergeCell ref="F3:H3"/>
    <mergeCell ref="I3:K3"/>
    <mergeCell ref="L3:N3"/>
    <mergeCell ref="C30:E30"/>
    <mergeCell ref="F30:H30"/>
    <mergeCell ref="I30:K30"/>
    <mergeCell ref="L30:N30"/>
    <mergeCell ref="I31:K31"/>
    <mergeCell ref="L31:N31"/>
    <mergeCell ref="C4:E4"/>
    <mergeCell ref="F4:H4"/>
    <mergeCell ref="A25:B25"/>
    <mergeCell ref="A28:N28"/>
    <mergeCell ref="P28:Q28"/>
    <mergeCell ref="A29:N29"/>
    <mergeCell ref="A30:B32"/>
    <mergeCell ref="C57:E58"/>
    <mergeCell ref="F57:H58"/>
    <mergeCell ref="I57:K58"/>
    <mergeCell ref="L57:N58"/>
    <mergeCell ref="I59:K59"/>
    <mergeCell ref="L59:N59"/>
    <mergeCell ref="C85:E86"/>
    <mergeCell ref="F85:H86"/>
    <mergeCell ref="I85:K86"/>
    <mergeCell ref="L85:N86"/>
    <mergeCell ref="C87:E87"/>
    <mergeCell ref="F87:H87"/>
    <mergeCell ref="I87:K87"/>
    <mergeCell ref="L87:N87"/>
    <mergeCell ref="C31:E31"/>
    <mergeCell ref="F31:H31"/>
    <mergeCell ref="A52:B52"/>
    <mergeCell ref="A55:N55"/>
    <mergeCell ref="A56:N56"/>
    <mergeCell ref="A57:A60"/>
    <mergeCell ref="B57:B60"/>
    <mergeCell ref="C59:E59"/>
    <mergeCell ref="F59:H59"/>
    <mergeCell ref="A80:B80"/>
    <mergeCell ref="A83:N83"/>
    <mergeCell ref="A84:N84"/>
    <mergeCell ref="A85:A88"/>
    <mergeCell ref="B85:B88"/>
    <mergeCell ref="I112:K113"/>
    <mergeCell ref="L112:N112"/>
    <mergeCell ref="L113:N113"/>
    <mergeCell ref="I114:K114"/>
    <mergeCell ref="L114:N114"/>
    <mergeCell ref="C139:E140"/>
    <mergeCell ref="F139:H140"/>
    <mergeCell ref="I139:K140"/>
    <mergeCell ref="L139:N139"/>
    <mergeCell ref="L140:N140"/>
    <mergeCell ref="C141:E141"/>
    <mergeCell ref="F141:H141"/>
    <mergeCell ref="A162:B162"/>
    <mergeCell ref="A163:N163"/>
    <mergeCell ref="A164:N164"/>
    <mergeCell ref="A165:A168"/>
    <mergeCell ref="B165:B168"/>
    <mergeCell ref="C165:E166"/>
    <mergeCell ref="F165:H166"/>
    <mergeCell ref="F193:H193"/>
    <mergeCell ref="I193:K193"/>
    <mergeCell ref="C167:E167"/>
    <mergeCell ref="F167:H167"/>
    <mergeCell ref="A188:B188"/>
    <mergeCell ref="A189:N189"/>
    <mergeCell ref="A190:N190"/>
    <mergeCell ref="A191:A194"/>
    <mergeCell ref="L192:N192"/>
    <mergeCell ref="L193:N193"/>
    <mergeCell ref="C217:E218"/>
    <mergeCell ref="F217:H218"/>
    <mergeCell ref="I217:K218"/>
    <mergeCell ref="L217:N217"/>
    <mergeCell ref="L218:N218"/>
    <mergeCell ref="C219:E219"/>
    <mergeCell ref="F219:H219"/>
    <mergeCell ref="A240:B240"/>
    <mergeCell ref="I219:K219"/>
    <mergeCell ref="L219:N219"/>
    <mergeCell ref="B191:B194"/>
    <mergeCell ref="C193:E193"/>
    <mergeCell ref="A214:B214"/>
    <mergeCell ref="A215:N215"/>
    <mergeCell ref="A216:N216"/>
    <mergeCell ref="A217:A220"/>
    <mergeCell ref="B217:B220"/>
    <mergeCell ref="A108:B108"/>
    <mergeCell ref="A110:N110"/>
    <mergeCell ref="A111:N111"/>
    <mergeCell ref="A112:A115"/>
    <mergeCell ref="B112:B115"/>
    <mergeCell ref="C112:E113"/>
    <mergeCell ref="F112:H113"/>
    <mergeCell ref="I141:K141"/>
    <mergeCell ref="L141:N141"/>
    <mergeCell ref="C114:E114"/>
    <mergeCell ref="F114:H114"/>
    <mergeCell ref="A135:B135"/>
    <mergeCell ref="A137:N137"/>
    <mergeCell ref="A138:N138"/>
    <mergeCell ref="A139:A142"/>
    <mergeCell ref="B139:B142"/>
    <mergeCell ref="I165:K166"/>
    <mergeCell ref="L165:N165"/>
    <mergeCell ref="L166:N166"/>
    <mergeCell ref="I167:K167"/>
    <mergeCell ref="L167:N167"/>
    <mergeCell ref="C191:E192"/>
    <mergeCell ref="F191:H192"/>
    <mergeCell ref="I191:K192"/>
    <mergeCell ref="L191:N191"/>
  </mergeCells>
  <printOptions/>
  <pageMargins bottom="0.17452109531084736" footer="0.0" header="0.0" left="0.25" right="0.25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9.5" customHeight="1">
      <c r="A1" s="131" t="s">
        <v>222</v>
      </c>
    </row>
    <row r="2" ht="19.5" customHeight="1">
      <c r="A2" s="131" t="s">
        <v>223</v>
      </c>
    </row>
    <row r="3" ht="19.5" customHeight="1">
      <c r="A3" s="133" t="s">
        <v>4</v>
      </c>
      <c r="B3" s="133" t="s">
        <v>5</v>
      </c>
      <c r="C3" s="250" t="s">
        <v>224</v>
      </c>
      <c r="D3" s="7"/>
      <c r="E3" s="8"/>
      <c r="F3" s="250" t="s">
        <v>225</v>
      </c>
      <c r="G3" s="7"/>
      <c r="H3" s="8"/>
      <c r="I3" s="250" t="s">
        <v>226</v>
      </c>
      <c r="J3" s="7"/>
      <c r="K3" s="8"/>
    </row>
    <row r="4" ht="19.5" customHeight="1">
      <c r="A4" s="12"/>
      <c r="B4" s="12"/>
      <c r="C4" s="14"/>
      <c r="D4" s="15"/>
      <c r="E4" s="16"/>
      <c r="F4" s="14"/>
      <c r="G4" s="15"/>
      <c r="H4" s="16"/>
      <c r="I4" s="14"/>
      <c r="J4" s="15"/>
      <c r="K4" s="16"/>
    </row>
    <row r="5" ht="19.5" customHeight="1">
      <c r="A5" s="12"/>
      <c r="B5" s="12"/>
      <c r="C5" s="354" t="s">
        <v>198</v>
      </c>
      <c r="D5" s="20"/>
      <c r="E5" s="21"/>
      <c r="F5" s="354" t="s">
        <v>198</v>
      </c>
      <c r="G5" s="20"/>
      <c r="H5" s="21"/>
      <c r="I5" s="354" t="s">
        <v>198</v>
      </c>
      <c r="J5" s="20"/>
      <c r="K5" s="21"/>
    </row>
    <row r="6" ht="19.5" customHeight="1">
      <c r="A6" s="22"/>
      <c r="B6" s="22"/>
      <c r="C6" s="144" t="s">
        <v>13</v>
      </c>
      <c r="D6" s="144" t="s">
        <v>14</v>
      </c>
      <c r="E6" s="144" t="s">
        <v>15</v>
      </c>
      <c r="F6" s="144" t="s">
        <v>13</v>
      </c>
      <c r="G6" s="144" t="s">
        <v>14</v>
      </c>
      <c r="H6" s="144" t="s">
        <v>15</v>
      </c>
      <c r="I6" s="144" t="s">
        <v>13</v>
      </c>
      <c r="J6" s="144" t="s">
        <v>14</v>
      </c>
      <c r="K6" s="144" t="s">
        <v>15</v>
      </c>
    </row>
    <row r="7" ht="19.5" customHeight="1">
      <c r="A7" s="147">
        <v>1.0</v>
      </c>
      <c r="B7" s="148" t="s">
        <v>17</v>
      </c>
      <c r="C7" s="427">
        <v>9800.0</v>
      </c>
      <c r="D7" s="427">
        <v>9800.0</v>
      </c>
      <c r="E7" s="450">
        <v>1280.0</v>
      </c>
      <c r="F7" s="427">
        <v>9600.0</v>
      </c>
      <c r="G7" s="259">
        <f>9600</f>
        <v>9600</v>
      </c>
      <c r="H7" s="207">
        <f>F7-G7</f>
        <v>0</v>
      </c>
      <c r="I7" s="303">
        <v>60000.0</v>
      </c>
      <c r="J7" s="436"/>
      <c r="K7" s="357">
        <f>I7-J7</f>
        <v>60000</v>
      </c>
    </row>
    <row r="9">
      <c r="A9" s="133" t="s">
        <v>4</v>
      </c>
      <c r="B9" s="133" t="s">
        <v>5</v>
      </c>
      <c r="C9" s="286" t="s">
        <v>218</v>
      </c>
      <c r="D9" s="7"/>
      <c r="E9" s="8"/>
      <c r="F9" s="286" t="s">
        <v>227</v>
      </c>
      <c r="G9" s="7"/>
      <c r="H9" s="8"/>
      <c r="I9" s="451" t="s">
        <v>228</v>
      </c>
    </row>
    <row r="10">
      <c r="A10" s="12"/>
      <c r="B10" s="12"/>
      <c r="C10" s="14"/>
      <c r="D10" s="15"/>
      <c r="E10" s="16"/>
      <c r="F10" s="14"/>
      <c r="G10" s="15"/>
      <c r="H10" s="16"/>
      <c r="M10" s="452"/>
    </row>
    <row r="11">
      <c r="A11" s="12"/>
      <c r="B11" s="12"/>
      <c r="C11" s="354" t="s">
        <v>198</v>
      </c>
      <c r="D11" s="20"/>
      <c r="E11" s="21"/>
      <c r="F11" s="354" t="s">
        <v>198</v>
      </c>
      <c r="G11" s="20"/>
      <c r="H11" s="21"/>
      <c r="I11" s="354" t="s">
        <v>198</v>
      </c>
      <c r="J11" s="20"/>
      <c r="K11" s="21"/>
    </row>
    <row r="12">
      <c r="A12" s="22"/>
      <c r="B12" s="22"/>
      <c r="C12" s="144" t="s">
        <v>13</v>
      </c>
      <c r="D12" s="144" t="s">
        <v>14</v>
      </c>
      <c r="E12" s="144" t="s">
        <v>15</v>
      </c>
      <c r="F12" s="144" t="s">
        <v>13</v>
      </c>
      <c r="G12" s="144" t="s">
        <v>14</v>
      </c>
      <c r="H12" s="144" t="s">
        <v>15</v>
      </c>
      <c r="I12" s="144" t="s">
        <v>13</v>
      </c>
      <c r="J12" s="144" t="s">
        <v>14</v>
      </c>
      <c r="K12" s="144" t="s">
        <v>15</v>
      </c>
    </row>
    <row r="13">
      <c r="A13" s="170">
        <v>2.0</v>
      </c>
      <c r="B13" s="148" t="s">
        <v>17</v>
      </c>
      <c r="C13" s="263">
        <v>43000.0</v>
      </c>
      <c r="D13" s="263">
        <f>19000</f>
        <v>19000</v>
      </c>
      <c r="E13" s="247">
        <f>C13-D13</f>
        <v>24000</v>
      </c>
      <c r="F13" s="263">
        <v>7200.0</v>
      </c>
      <c r="G13" s="199"/>
      <c r="H13" s="357">
        <f>F13-G13</f>
        <v>7200</v>
      </c>
      <c r="I13" s="303">
        <v>41300.0</v>
      </c>
      <c r="J13" s="303">
        <f>34800+3000+3500</f>
        <v>41300</v>
      </c>
      <c r="K13" s="153">
        <f>I13-J13</f>
        <v>0</v>
      </c>
    </row>
    <row r="15">
      <c r="A15" s="133" t="s">
        <v>4</v>
      </c>
      <c r="B15" s="133" t="s">
        <v>5</v>
      </c>
      <c r="C15" s="360" t="s">
        <v>229</v>
      </c>
      <c r="D15" s="20"/>
      <c r="E15" s="21"/>
      <c r="F15" s="360" t="s">
        <v>230</v>
      </c>
      <c r="G15" s="20"/>
      <c r="H15" s="21"/>
      <c r="I15" s="453" t="s">
        <v>231</v>
      </c>
      <c r="J15" s="20"/>
      <c r="K15" s="21"/>
    </row>
    <row r="16">
      <c r="A16" s="12"/>
      <c r="B16" s="12"/>
      <c r="C16" s="354" t="s">
        <v>198</v>
      </c>
      <c r="D16" s="20"/>
      <c r="E16" s="21"/>
      <c r="F16" s="354" t="s">
        <v>198</v>
      </c>
      <c r="G16" s="20"/>
      <c r="H16" s="21"/>
      <c r="I16" s="354" t="s">
        <v>198</v>
      </c>
      <c r="J16" s="20"/>
      <c r="K16" s="21"/>
    </row>
    <row r="17">
      <c r="A17" s="22"/>
      <c r="B17" s="22"/>
      <c r="C17" s="144" t="s">
        <v>13</v>
      </c>
      <c r="D17" s="144" t="s">
        <v>14</v>
      </c>
      <c r="E17" s="144" t="s">
        <v>15</v>
      </c>
      <c r="F17" s="144" t="s">
        <v>13</v>
      </c>
      <c r="G17" s="144" t="s">
        <v>14</v>
      </c>
      <c r="H17" s="144" t="s">
        <v>15</v>
      </c>
      <c r="I17" s="144" t="s">
        <v>13</v>
      </c>
      <c r="J17" s="144" t="s">
        <v>14</v>
      </c>
      <c r="K17" s="144" t="s">
        <v>15</v>
      </c>
    </row>
    <row r="18">
      <c r="A18" s="170">
        <v>3.0</v>
      </c>
      <c r="B18" s="148" t="s">
        <v>17</v>
      </c>
      <c r="C18" s="263">
        <v>7600.0</v>
      </c>
      <c r="D18" s="263">
        <v>6840.0</v>
      </c>
      <c r="E18" s="169">
        <f>C18-D18</f>
        <v>760</v>
      </c>
      <c r="F18" s="263">
        <v>17000.0</v>
      </c>
      <c r="G18" s="263">
        <f>7560+2440+7000</f>
        <v>17000</v>
      </c>
      <c r="H18" s="189">
        <f>F18-G18</f>
        <v>0</v>
      </c>
      <c r="I18" s="303">
        <v>8700.0</v>
      </c>
      <c r="J18" s="303">
        <f>4650+3450+600</f>
        <v>8700</v>
      </c>
      <c r="K18" s="153">
        <f>I18-J18</f>
        <v>0</v>
      </c>
    </row>
    <row r="20">
      <c r="A20" s="133" t="s">
        <v>4</v>
      </c>
      <c r="B20" s="133" t="s">
        <v>5</v>
      </c>
      <c r="C20" s="454" t="s">
        <v>232</v>
      </c>
      <c r="D20" s="20"/>
      <c r="E20" s="21"/>
      <c r="F20" s="455" t="s">
        <v>233</v>
      </c>
      <c r="G20" s="20"/>
      <c r="H20" s="21"/>
      <c r="I20" s="455" t="s">
        <v>234</v>
      </c>
      <c r="J20" s="20"/>
      <c r="K20" s="21"/>
    </row>
    <row r="21">
      <c r="A21" s="12"/>
      <c r="B21" s="12"/>
      <c r="C21" s="354" t="s">
        <v>198</v>
      </c>
      <c r="D21" s="20"/>
      <c r="E21" s="21"/>
      <c r="F21" s="354" t="s">
        <v>198</v>
      </c>
      <c r="G21" s="20"/>
      <c r="H21" s="21"/>
      <c r="I21" s="354" t="s">
        <v>198</v>
      </c>
      <c r="J21" s="20"/>
      <c r="K21" s="21"/>
    </row>
    <row r="22">
      <c r="A22" s="22"/>
      <c r="B22" s="22"/>
      <c r="C22" s="144" t="s">
        <v>13</v>
      </c>
      <c r="D22" s="144" t="s">
        <v>14</v>
      </c>
      <c r="E22" s="144" t="s">
        <v>15</v>
      </c>
      <c r="F22" s="144" t="s">
        <v>13</v>
      </c>
      <c r="G22" s="144" t="s">
        <v>14</v>
      </c>
      <c r="H22" s="144" t="s">
        <v>15</v>
      </c>
      <c r="I22" s="144" t="s">
        <v>13</v>
      </c>
      <c r="J22" s="144" t="s">
        <v>14</v>
      </c>
      <c r="K22" s="144" t="s">
        <v>15</v>
      </c>
    </row>
    <row r="23">
      <c r="A23" s="170">
        <v>4.0</v>
      </c>
      <c r="B23" s="148" t="s">
        <v>17</v>
      </c>
      <c r="C23" s="263">
        <v>3600.0</v>
      </c>
      <c r="D23" s="263"/>
      <c r="E23" s="357">
        <f>C23-D23</f>
        <v>3600</v>
      </c>
      <c r="F23" s="263">
        <v>71400.0</v>
      </c>
      <c r="G23" s="199"/>
      <c r="H23" s="357">
        <f>F23-G23</f>
        <v>71400</v>
      </c>
      <c r="I23" s="303">
        <v>69000.0</v>
      </c>
      <c r="J23" s="436"/>
      <c r="K23" s="357">
        <f>I23-J23</f>
        <v>69000</v>
      </c>
    </row>
    <row r="25">
      <c r="A25" s="133" t="s">
        <v>4</v>
      </c>
      <c r="B25" s="133" t="s">
        <v>5</v>
      </c>
      <c r="C25" s="360" t="s">
        <v>235</v>
      </c>
      <c r="D25" s="20"/>
      <c r="E25" s="21"/>
      <c r="F25" s="455" t="s">
        <v>236</v>
      </c>
      <c r="G25" s="20"/>
      <c r="H25" s="21"/>
      <c r="I25" s="455" t="s">
        <v>237</v>
      </c>
      <c r="J25" s="20"/>
      <c r="K25" s="21"/>
    </row>
    <row r="26">
      <c r="A26" s="12"/>
      <c r="B26" s="12"/>
      <c r="C26" s="354" t="s">
        <v>198</v>
      </c>
      <c r="D26" s="20"/>
      <c r="E26" s="21"/>
      <c r="F26" s="354" t="s">
        <v>198</v>
      </c>
      <c r="G26" s="20"/>
      <c r="H26" s="21"/>
      <c r="I26" s="354" t="s">
        <v>198</v>
      </c>
      <c r="J26" s="20"/>
      <c r="K26" s="21"/>
    </row>
    <row r="27">
      <c r="A27" s="22"/>
      <c r="B27" s="22"/>
      <c r="C27" s="144" t="s">
        <v>13</v>
      </c>
      <c r="D27" s="144" t="s">
        <v>14</v>
      </c>
      <c r="E27" s="144" t="s">
        <v>15</v>
      </c>
      <c r="F27" s="144" t="s">
        <v>13</v>
      </c>
      <c r="G27" s="144" t="s">
        <v>14</v>
      </c>
      <c r="H27" s="144" t="s">
        <v>15</v>
      </c>
      <c r="I27" s="144" t="s">
        <v>13</v>
      </c>
      <c r="J27" s="144" t="s">
        <v>14</v>
      </c>
      <c r="K27" s="144" t="s">
        <v>15</v>
      </c>
    </row>
    <row r="28">
      <c r="A28" s="170">
        <v>5.0</v>
      </c>
      <c r="B28" s="148" t="s">
        <v>17</v>
      </c>
      <c r="C28" s="263">
        <v>55300.0</v>
      </c>
      <c r="D28" s="263"/>
      <c r="E28" s="357">
        <f>C28-D28</f>
        <v>55300</v>
      </c>
      <c r="F28" s="263">
        <v>5600.0</v>
      </c>
      <c r="G28" s="263">
        <v>5600.0</v>
      </c>
      <c r="H28" s="153"/>
      <c r="I28" s="303">
        <v>2400.0</v>
      </c>
      <c r="J28" s="303">
        <v>2400.0</v>
      </c>
      <c r="K28" s="207"/>
    </row>
    <row r="30">
      <c r="A30" s="133" t="s">
        <v>4</v>
      </c>
      <c r="B30" s="133" t="s">
        <v>5</v>
      </c>
      <c r="C30" s="360" t="s">
        <v>238</v>
      </c>
      <c r="D30" s="20"/>
      <c r="E30" s="21"/>
      <c r="F30" s="455" t="s">
        <v>239</v>
      </c>
      <c r="G30" s="20"/>
      <c r="H30" s="21"/>
      <c r="I30" s="455" t="s">
        <v>240</v>
      </c>
      <c r="J30" s="20"/>
      <c r="K30" s="21"/>
    </row>
    <row r="31">
      <c r="A31" s="12"/>
      <c r="B31" s="12"/>
      <c r="C31" s="354" t="s">
        <v>198</v>
      </c>
      <c r="D31" s="20"/>
      <c r="E31" s="21"/>
      <c r="I31" s="354" t="s">
        <v>198</v>
      </c>
      <c r="J31" s="20"/>
      <c r="K31" s="21"/>
    </row>
    <row r="32">
      <c r="A32" s="22"/>
      <c r="B32" s="22"/>
      <c r="C32" s="144" t="s">
        <v>13</v>
      </c>
      <c r="D32" s="144" t="s">
        <v>14</v>
      </c>
      <c r="E32" s="144" t="s">
        <v>15</v>
      </c>
      <c r="F32" s="144" t="s">
        <v>13</v>
      </c>
      <c r="G32" s="144" t="s">
        <v>14</v>
      </c>
      <c r="H32" s="144" t="s">
        <v>15</v>
      </c>
      <c r="I32" s="144" t="s">
        <v>13</v>
      </c>
      <c r="J32" s="144" t="s">
        <v>14</v>
      </c>
      <c r="K32" s="144" t="s">
        <v>15</v>
      </c>
    </row>
    <row r="33">
      <c r="A33" s="170">
        <v>6.0</v>
      </c>
      <c r="B33" s="148" t="s">
        <v>17</v>
      </c>
      <c r="C33" s="263">
        <v>160000.0</v>
      </c>
      <c r="D33" s="263">
        <f>34600+5400+6010+104800+4290+2400+2500</f>
        <v>160000</v>
      </c>
      <c r="E33" s="153">
        <f>C33-D33</f>
        <v>0</v>
      </c>
      <c r="F33" s="263">
        <v>270000.0</v>
      </c>
      <c r="G33" s="263"/>
      <c r="H33" s="357">
        <f>F33-G33</f>
        <v>270000</v>
      </c>
      <c r="I33" s="303">
        <v>17200.0</v>
      </c>
      <c r="J33" s="303">
        <v>17200.0</v>
      </c>
      <c r="K33" s="207">
        <f>I33-J33</f>
        <v>0</v>
      </c>
    </row>
    <row r="35">
      <c r="A35" s="133" t="s">
        <v>4</v>
      </c>
      <c r="B35" s="133" t="s">
        <v>5</v>
      </c>
      <c r="C35" s="360" t="s">
        <v>241</v>
      </c>
      <c r="D35" s="20"/>
      <c r="E35" s="21"/>
      <c r="F35" s="456" t="s">
        <v>242</v>
      </c>
      <c r="G35" s="20"/>
      <c r="H35" s="21"/>
      <c r="I35" s="455" t="s">
        <v>243</v>
      </c>
      <c r="J35" s="20"/>
      <c r="K35" s="21"/>
    </row>
    <row r="36">
      <c r="A36" s="12"/>
      <c r="B36" s="12"/>
      <c r="C36" s="354" t="s">
        <v>198</v>
      </c>
      <c r="D36" s="20"/>
      <c r="E36" s="21"/>
      <c r="F36" s="457" t="s">
        <v>198</v>
      </c>
      <c r="G36" s="20"/>
      <c r="H36" s="21"/>
      <c r="I36" s="457" t="s">
        <v>198</v>
      </c>
      <c r="J36" s="20"/>
      <c r="K36" s="21"/>
    </row>
    <row r="37">
      <c r="A37" s="22"/>
      <c r="B37" s="22"/>
      <c r="C37" s="144" t="s">
        <v>13</v>
      </c>
      <c r="D37" s="144" t="s">
        <v>14</v>
      </c>
      <c r="E37" s="144" t="s">
        <v>15</v>
      </c>
      <c r="F37" s="144" t="s">
        <v>13</v>
      </c>
      <c r="G37" s="144" t="s">
        <v>14</v>
      </c>
      <c r="H37" s="144" t="s">
        <v>15</v>
      </c>
      <c r="I37" s="144" t="s">
        <v>13</v>
      </c>
      <c r="J37" s="144" t="s">
        <v>14</v>
      </c>
      <c r="K37" s="144" t="s">
        <v>15</v>
      </c>
    </row>
    <row r="38">
      <c r="A38" s="170">
        <v>7.0</v>
      </c>
      <c r="B38" s="148" t="s">
        <v>17</v>
      </c>
      <c r="C38" s="263">
        <v>14120.0</v>
      </c>
      <c r="D38" s="263">
        <v>14120.0</v>
      </c>
      <c r="E38" s="207">
        <f>C38-D38</f>
        <v>0</v>
      </c>
      <c r="F38" s="263">
        <v>355200.0</v>
      </c>
      <c r="G38" s="263"/>
      <c r="H38" s="357">
        <f>F38-G38</f>
        <v>355200</v>
      </c>
      <c r="I38" s="303">
        <v>3080.0</v>
      </c>
      <c r="J38" s="303">
        <v>3080.0</v>
      </c>
      <c r="K38" s="458"/>
    </row>
    <row r="40">
      <c r="A40" s="133" t="s">
        <v>4</v>
      </c>
      <c r="B40" s="133" t="s">
        <v>5</v>
      </c>
      <c r="C40" s="360" t="s">
        <v>244</v>
      </c>
      <c r="D40" s="20"/>
      <c r="E40" s="21"/>
      <c r="F40" s="456" t="s">
        <v>245</v>
      </c>
      <c r="G40" s="20"/>
      <c r="H40" s="21"/>
      <c r="I40" s="455"/>
      <c r="J40" s="20"/>
      <c r="K40" s="21"/>
    </row>
    <row r="41">
      <c r="A41" s="12"/>
      <c r="B41" s="12"/>
      <c r="C41" s="354" t="s">
        <v>198</v>
      </c>
      <c r="D41" s="20"/>
      <c r="E41" s="21"/>
      <c r="F41" s="354" t="s">
        <v>198</v>
      </c>
      <c r="G41" s="20"/>
      <c r="H41" s="21"/>
      <c r="I41" s="354" t="s">
        <v>198</v>
      </c>
      <c r="J41" s="20"/>
      <c r="K41" s="21"/>
    </row>
    <row r="42">
      <c r="A42" s="22"/>
      <c r="B42" s="22"/>
      <c r="C42" s="144" t="s">
        <v>13</v>
      </c>
      <c r="D42" s="144" t="s">
        <v>14</v>
      </c>
      <c r="E42" s="144" t="s">
        <v>15</v>
      </c>
      <c r="F42" s="144" t="s">
        <v>13</v>
      </c>
      <c r="G42" s="144" t="s">
        <v>14</v>
      </c>
      <c r="H42" s="144" t="s">
        <v>15</v>
      </c>
      <c r="I42" s="144" t="s">
        <v>13</v>
      </c>
      <c r="J42" s="144" t="s">
        <v>14</v>
      </c>
      <c r="K42" s="144" t="s">
        <v>15</v>
      </c>
    </row>
    <row r="43">
      <c r="A43" s="170">
        <v>8.0</v>
      </c>
      <c r="B43" s="148" t="s">
        <v>17</v>
      </c>
      <c r="C43" s="263">
        <v>14925.0</v>
      </c>
      <c r="D43" s="263">
        <f>5040+885</f>
        <v>5925</v>
      </c>
      <c r="E43" s="247">
        <f>C43-D43</f>
        <v>9000</v>
      </c>
      <c r="F43" s="263">
        <v>5000.0</v>
      </c>
      <c r="G43" s="263">
        <v>5000.0</v>
      </c>
      <c r="H43" s="207"/>
      <c r="I43" s="303"/>
      <c r="J43" s="303"/>
      <c r="K43" s="459"/>
    </row>
  </sheetData>
  <mergeCells count="65">
    <mergeCell ref="I30:K30"/>
    <mergeCell ref="I31:K31"/>
    <mergeCell ref="B35:B37"/>
    <mergeCell ref="C35:E35"/>
    <mergeCell ref="F35:H35"/>
    <mergeCell ref="I35:K35"/>
    <mergeCell ref="C36:E36"/>
    <mergeCell ref="F36:H36"/>
    <mergeCell ref="I36:K36"/>
    <mergeCell ref="A1:N1"/>
    <mergeCell ref="A2:N2"/>
    <mergeCell ref="A3:A6"/>
    <mergeCell ref="B3:B6"/>
    <mergeCell ref="C3:E4"/>
    <mergeCell ref="F3:H4"/>
    <mergeCell ref="I3:K4"/>
    <mergeCell ref="I5:K5"/>
    <mergeCell ref="C5:E5"/>
    <mergeCell ref="F5:H5"/>
    <mergeCell ref="A9:A12"/>
    <mergeCell ref="B9:B12"/>
    <mergeCell ref="C9:E10"/>
    <mergeCell ref="F9:H10"/>
    <mergeCell ref="I9:K10"/>
    <mergeCell ref="I11:K11"/>
    <mergeCell ref="C11:E11"/>
    <mergeCell ref="F11:H11"/>
    <mergeCell ref="A15:A17"/>
    <mergeCell ref="B15:B17"/>
    <mergeCell ref="C15:E15"/>
    <mergeCell ref="F15:H15"/>
    <mergeCell ref="I15:K15"/>
    <mergeCell ref="I16:K16"/>
    <mergeCell ref="C16:E16"/>
    <mergeCell ref="F16:H16"/>
    <mergeCell ref="A20:A22"/>
    <mergeCell ref="B20:B22"/>
    <mergeCell ref="C20:E20"/>
    <mergeCell ref="F20:H20"/>
    <mergeCell ref="I20:K20"/>
    <mergeCell ref="I21:K21"/>
    <mergeCell ref="C21:E21"/>
    <mergeCell ref="F21:H21"/>
    <mergeCell ref="A25:A27"/>
    <mergeCell ref="B25:B27"/>
    <mergeCell ref="C25:E25"/>
    <mergeCell ref="F25:H25"/>
    <mergeCell ref="I25:K25"/>
    <mergeCell ref="I26:K26"/>
    <mergeCell ref="C26:E26"/>
    <mergeCell ref="F26:H26"/>
    <mergeCell ref="A30:A32"/>
    <mergeCell ref="B30:B32"/>
    <mergeCell ref="C30:E30"/>
    <mergeCell ref="F30:H30"/>
    <mergeCell ref="C31:E31"/>
    <mergeCell ref="F41:H41"/>
    <mergeCell ref="I41:K41"/>
    <mergeCell ref="A35:A37"/>
    <mergeCell ref="A40:A42"/>
    <mergeCell ref="B40:B42"/>
    <mergeCell ref="C40:E40"/>
    <mergeCell ref="F40:H40"/>
    <mergeCell ref="I40:K40"/>
    <mergeCell ref="C41:E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8.86"/>
    <col customWidth="1" min="5" max="5" width="18.0"/>
    <col customWidth="1" min="7" max="7" width="11.0"/>
    <col customWidth="1" min="8" max="8" width="16.71"/>
  </cols>
  <sheetData>
    <row r="1">
      <c r="A1" s="359" t="s">
        <v>4</v>
      </c>
      <c r="B1" s="8"/>
      <c r="C1" s="360" t="s">
        <v>194</v>
      </c>
      <c r="D1" s="20"/>
      <c r="E1" s="21"/>
      <c r="F1" s="361" t="s">
        <v>195</v>
      </c>
      <c r="G1" s="20"/>
      <c r="H1" s="21"/>
    </row>
    <row r="2">
      <c r="A2" s="362"/>
      <c r="B2" s="13"/>
      <c r="C2" s="140" t="s">
        <v>198</v>
      </c>
      <c r="E2" s="13"/>
      <c r="F2" s="363" t="s">
        <v>198</v>
      </c>
      <c r="H2" s="13"/>
    </row>
    <row r="3">
      <c r="A3" s="14"/>
      <c r="B3" s="16"/>
      <c r="C3" s="144" t="s">
        <v>13</v>
      </c>
      <c r="D3" s="460"/>
      <c r="E3" s="460" t="s">
        <v>246</v>
      </c>
      <c r="F3" s="364" t="s">
        <v>13</v>
      </c>
      <c r="G3" s="144"/>
      <c r="H3" s="460" t="s">
        <v>246</v>
      </c>
    </row>
    <row r="4">
      <c r="A4" s="170">
        <v>1.0</v>
      </c>
      <c r="B4" s="159" t="s">
        <v>18</v>
      </c>
      <c r="C4" s="371">
        <v>522925.0</v>
      </c>
      <c r="D4" s="371"/>
      <c r="E4" s="461" t="s">
        <v>247</v>
      </c>
      <c r="F4" s="373">
        <v>10025.0</v>
      </c>
      <c r="G4" s="376"/>
      <c r="H4" s="374"/>
    </row>
    <row r="5">
      <c r="A5" s="170">
        <v>2.0</v>
      </c>
      <c r="B5" s="148" t="s">
        <v>19</v>
      </c>
      <c r="C5" s="371">
        <v>405300.0</v>
      </c>
      <c r="D5" s="371"/>
      <c r="E5" s="461" t="s">
        <v>248</v>
      </c>
      <c r="F5" s="378">
        <v>3375.0</v>
      </c>
      <c r="G5" s="371">
        <v>3375.0</v>
      </c>
      <c r="H5" s="461" t="s">
        <v>249</v>
      </c>
    </row>
    <row r="6">
      <c r="A6" s="170">
        <v>3.0</v>
      </c>
      <c r="B6" s="148" t="s">
        <v>20</v>
      </c>
      <c r="C6" s="382">
        <v>361150.0</v>
      </c>
      <c r="D6" s="382"/>
      <c r="E6" s="461" t="s">
        <v>250</v>
      </c>
      <c r="F6" s="384">
        <v>1925.0</v>
      </c>
      <c r="G6" s="385"/>
      <c r="H6" s="374"/>
    </row>
    <row r="7">
      <c r="A7" s="170">
        <v>4.0</v>
      </c>
      <c r="B7" s="148" t="s">
        <v>21</v>
      </c>
      <c r="C7" s="382">
        <v>255350.0</v>
      </c>
      <c r="D7" s="386"/>
      <c r="E7" s="461" t="s">
        <v>251</v>
      </c>
      <c r="F7" s="387">
        <v>3375.0</v>
      </c>
      <c r="G7" s="387">
        <v>3375.0</v>
      </c>
      <c r="H7" s="462"/>
    </row>
    <row r="8">
      <c r="A8" s="170">
        <v>5.0</v>
      </c>
      <c r="B8" s="148" t="s">
        <v>22</v>
      </c>
      <c r="C8" s="388">
        <v>169625.0</v>
      </c>
      <c r="D8" s="389"/>
      <c r="E8" s="461" t="s">
        <v>248</v>
      </c>
      <c r="F8" s="387">
        <v>1600.0</v>
      </c>
      <c r="G8" s="396"/>
      <c r="H8" s="374"/>
    </row>
    <row r="9">
      <c r="A9" s="170">
        <v>6.0</v>
      </c>
      <c r="B9" s="148" t="s">
        <v>23</v>
      </c>
      <c r="C9" s="388">
        <v>226100.0</v>
      </c>
      <c r="D9" s="389"/>
      <c r="E9" s="461" t="s">
        <v>248</v>
      </c>
      <c r="F9" s="387">
        <v>2025.0</v>
      </c>
      <c r="G9" s="396"/>
      <c r="H9" s="374"/>
    </row>
    <row r="10">
      <c r="A10" s="170">
        <v>7.0</v>
      </c>
      <c r="B10" s="148" t="s">
        <v>24</v>
      </c>
      <c r="C10" s="388">
        <v>136000.0</v>
      </c>
      <c r="D10" s="389"/>
      <c r="E10" s="461" t="s">
        <v>248</v>
      </c>
      <c r="F10" s="387">
        <v>1425.0</v>
      </c>
      <c r="G10" s="396"/>
      <c r="H10" s="374"/>
    </row>
    <row r="11">
      <c r="A11" s="170">
        <v>8.0</v>
      </c>
      <c r="B11" s="148" t="s">
        <v>25</v>
      </c>
      <c r="C11" s="388">
        <v>158125.0</v>
      </c>
      <c r="D11" s="388"/>
      <c r="E11" s="461" t="s">
        <v>251</v>
      </c>
      <c r="F11" s="387">
        <v>425.0</v>
      </c>
      <c r="G11" s="387">
        <v>425.0</v>
      </c>
      <c r="H11" s="463"/>
    </row>
    <row r="12">
      <c r="A12" s="170">
        <v>9.0</v>
      </c>
      <c r="B12" s="148" t="s">
        <v>26</v>
      </c>
      <c r="C12" s="388">
        <v>128800.0</v>
      </c>
      <c r="D12" s="389"/>
      <c r="E12" s="461" t="s">
        <v>251</v>
      </c>
      <c r="F12" s="387">
        <v>8175.0</v>
      </c>
      <c r="G12" s="396"/>
      <c r="H12" s="374"/>
    </row>
    <row r="13">
      <c r="A13" s="170">
        <v>10.0</v>
      </c>
      <c r="B13" s="148" t="s">
        <v>27</v>
      </c>
      <c r="C13" s="388">
        <v>129100.0</v>
      </c>
      <c r="D13" s="389"/>
      <c r="E13" s="461" t="s">
        <v>248</v>
      </c>
      <c r="F13" s="387">
        <v>50.0</v>
      </c>
      <c r="G13" s="387">
        <v>50.0</v>
      </c>
      <c r="H13" s="461" t="s">
        <v>249</v>
      </c>
    </row>
    <row r="14">
      <c r="A14" s="170">
        <v>11.0</v>
      </c>
      <c r="B14" s="148" t="s">
        <v>28</v>
      </c>
      <c r="C14" s="388">
        <v>115400.0</v>
      </c>
      <c r="D14" s="389"/>
      <c r="E14" s="461" t="s">
        <v>248</v>
      </c>
      <c r="F14" s="387">
        <v>2050.0</v>
      </c>
      <c r="G14" s="396"/>
      <c r="H14" s="374"/>
    </row>
    <row r="15">
      <c r="A15" s="170">
        <v>12.0</v>
      </c>
      <c r="B15" s="148" t="s">
        <v>29</v>
      </c>
      <c r="C15" s="388">
        <v>41450.0</v>
      </c>
      <c r="D15" s="389"/>
      <c r="E15" s="461" t="s">
        <v>250</v>
      </c>
      <c r="F15" s="387">
        <v>2225.0</v>
      </c>
      <c r="G15" s="396"/>
      <c r="H15" s="374"/>
    </row>
    <row r="16">
      <c r="A16" s="170">
        <v>13.0</v>
      </c>
      <c r="B16" s="148" t="s">
        <v>30</v>
      </c>
      <c r="C16" s="388">
        <v>94050.0</v>
      </c>
      <c r="D16" s="389"/>
      <c r="E16" s="461" t="s">
        <v>248</v>
      </c>
      <c r="F16" s="387">
        <v>550.0</v>
      </c>
      <c r="G16" s="387">
        <v>550.0</v>
      </c>
      <c r="H16" s="461" t="s">
        <v>249</v>
      </c>
    </row>
    <row r="17">
      <c r="A17" s="170">
        <v>14.0</v>
      </c>
      <c r="B17" s="148" t="s">
        <v>31</v>
      </c>
      <c r="C17" s="388">
        <v>100800.0</v>
      </c>
      <c r="D17" s="389"/>
      <c r="E17" s="461" t="s">
        <v>248</v>
      </c>
      <c r="F17" s="387">
        <v>75.0</v>
      </c>
      <c r="G17" s="396"/>
      <c r="H17" s="374"/>
    </row>
    <row r="18">
      <c r="A18" s="170">
        <v>15.0</v>
      </c>
      <c r="B18" s="148" t="s">
        <v>32</v>
      </c>
      <c r="C18" s="388">
        <v>90700.0</v>
      </c>
      <c r="D18" s="399"/>
      <c r="E18" s="461" t="s">
        <v>250</v>
      </c>
      <c r="F18" s="387">
        <v>250.0</v>
      </c>
      <c r="G18" s="396"/>
      <c r="H18" s="374"/>
    </row>
    <row r="19">
      <c r="A19" s="170">
        <v>16.0</v>
      </c>
      <c r="B19" s="148" t="s">
        <v>33</v>
      </c>
      <c r="C19" s="388">
        <v>116250.0</v>
      </c>
      <c r="D19" s="388"/>
      <c r="E19" s="461" t="s">
        <v>247</v>
      </c>
      <c r="F19" s="387">
        <v>1375.0</v>
      </c>
      <c r="G19" s="396"/>
      <c r="H19" s="374"/>
    </row>
    <row r="20">
      <c r="A20" s="170">
        <v>17.0</v>
      </c>
      <c r="B20" s="148" t="s">
        <v>34</v>
      </c>
      <c r="C20" s="388">
        <v>108350.0</v>
      </c>
      <c r="D20" s="389"/>
      <c r="E20" s="461" t="s">
        <v>248</v>
      </c>
      <c r="F20" s="387">
        <v>2025.0</v>
      </c>
      <c r="G20" s="387">
        <v>2025.0</v>
      </c>
      <c r="H20" s="461" t="s">
        <v>249</v>
      </c>
    </row>
    <row r="21">
      <c r="A21" s="170">
        <v>18.0</v>
      </c>
      <c r="B21" s="358" t="s">
        <v>35</v>
      </c>
      <c r="C21" s="388">
        <v>80425.0</v>
      </c>
      <c r="D21" s="389"/>
      <c r="E21" s="461" t="s">
        <v>248</v>
      </c>
      <c r="F21" s="387">
        <v>925.0</v>
      </c>
      <c r="G21" s="396"/>
      <c r="H21" s="374"/>
    </row>
    <row r="22">
      <c r="A22" s="171"/>
      <c r="B22" s="21"/>
      <c r="C22" s="401">
        <f>SUM(C1:C21)</f>
        <v>3239900</v>
      </c>
      <c r="D22" s="401"/>
      <c r="E22" s="401">
        <f>SUM(E4:E21)</f>
        <v>0</v>
      </c>
      <c r="F22" s="401" t="str">
        <f>SUM(#REF!)</f>
        <v>#REF!</v>
      </c>
      <c r="G22" s="401"/>
      <c r="H22" s="402"/>
    </row>
  </sheetData>
  <mergeCells count="6">
    <mergeCell ref="A1:B3"/>
    <mergeCell ref="C1:E1"/>
    <mergeCell ref="F1:H1"/>
    <mergeCell ref="C2:E2"/>
    <mergeCell ref="F2:H2"/>
    <mergeCell ref="A22:B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4.71"/>
    <col customWidth="1" min="3" max="3" width="54.0"/>
    <col customWidth="1" min="4" max="4" width="29.14"/>
  </cols>
  <sheetData>
    <row r="1">
      <c r="A1" s="464" t="s">
        <v>252</v>
      </c>
    </row>
    <row r="2">
      <c r="A2" s="464" t="s">
        <v>253</v>
      </c>
    </row>
    <row r="3">
      <c r="A3" s="464" t="s">
        <v>254</v>
      </c>
    </row>
    <row r="4">
      <c r="A4" s="464" t="s">
        <v>255</v>
      </c>
    </row>
    <row r="5">
      <c r="A5" s="464" t="s">
        <v>256</v>
      </c>
    </row>
    <row r="6">
      <c r="A6" s="465"/>
      <c r="B6" s="465"/>
      <c r="C6" s="465"/>
      <c r="D6" s="465"/>
    </row>
    <row r="7">
      <c r="A7" s="466" t="s">
        <v>257</v>
      </c>
    </row>
    <row r="8">
      <c r="A8" s="465"/>
      <c r="B8" s="465"/>
      <c r="C8" s="465"/>
      <c r="D8" s="465"/>
    </row>
    <row r="9">
      <c r="A9" s="467" t="s">
        <v>4</v>
      </c>
      <c r="B9" s="467" t="s">
        <v>5</v>
      </c>
      <c r="C9" s="467" t="s">
        <v>258</v>
      </c>
      <c r="D9" s="467" t="s">
        <v>259</v>
      </c>
    </row>
    <row r="10">
      <c r="A10" s="468">
        <v>1.0</v>
      </c>
      <c r="B10" s="469" t="s">
        <v>18</v>
      </c>
      <c r="C10" s="470" t="s">
        <v>260</v>
      </c>
      <c r="D10" s="471" t="s">
        <v>261</v>
      </c>
    </row>
    <row r="11">
      <c r="A11" s="468">
        <v>2.0</v>
      </c>
      <c r="B11" s="469" t="s">
        <v>21</v>
      </c>
      <c r="C11" s="470" t="s">
        <v>262</v>
      </c>
      <c r="D11" s="471" t="s">
        <v>263</v>
      </c>
    </row>
    <row r="12">
      <c r="A12" s="468">
        <v>3.0</v>
      </c>
      <c r="B12" s="469" t="s">
        <v>24</v>
      </c>
      <c r="C12" s="470" t="s">
        <v>264</v>
      </c>
      <c r="D12" s="471" t="s">
        <v>265</v>
      </c>
    </row>
    <row r="13" ht="54.75" customHeight="1">
      <c r="A13" s="468">
        <v>4.0</v>
      </c>
      <c r="B13" s="469" t="s">
        <v>20</v>
      </c>
      <c r="C13" s="470" t="s">
        <v>266</v>
      </c>
      <c r="D13" s="471">
        <v>5.0</v>
      </c>
    </row>
    <row r="14">
      <c r="A14" s="468">
        <v>5.0</v>
      </c>
      <c r="B14" s="469" t="s">
        <v>19</v>
      </c>
      <c r="C14" s="470" t="s">
        <v>267</v>
      </c>
      <c r="D14" s="471" t="s">
        <v>268</v>
      </c>
    </row>
    <row r="15" ht="51.0" customHeight="1">
      <c r="A15" s="468">
        <v>6.0</v>
      </c>
      <c r="B15" s="469" t="s">
        <v>23</v>
      </c>
      <c r="C15" s="470" t="s">
        <v>266</v>
      </c>
      <c r="D15" s="471">
        <v>5.0</v>
      </c>
    </row>
    <row r="16">
      <c r="A16" s="468">
        <v>7.0</v>
      </c>
      <c r="B16" s="469" t="s">
        <v>269</v>
      </c>
      <c r="C16" s="470" t="s">
        <v>270</v>
      </c>
      <c r="D16" s="471">
        <v>5.0</v>
      </c>
    </row>
    <row r="17" ht="54.0" customHeight="1">
      <c r="A17" s="468">
        <v>8.0</v>
      </c>
      <c r="B17" s="469" t="s">
        <v>30</v>
      </c>
      <c r="C17" s="470" t="s">
        <v>271</v>
      </c>
      <c r="D17" s="471">
        <v>1.0</v>
      </c>
    </row>
    <row r="18" ht="50.25" customHeight="1">
      <c r="A18" s="468">
        <v>9.0</v>
      </c>
      <c r="B18" s="469" t="s">
        <v>22</v>
      </c>
      <c r="C18" s="470" t="s">
        <v>272</v>
      </c>
      <c r="D18" s="471">
        <v>4.0</v>
      </c>
    </row>
    <row r="19" ht="71.25" customHeight="1">
      <c r="A19" s="468">
        <v>10.0</v>
      </c>
      <c r="B19" s="469" t="s">
        <v>25</v>
      </c>
      <c r="C19" s="470" t="s">
        <v>273</v>
      </c>
      <c r="D19" s="471" t="s">
        <v>265</v>
      </c>
    </row>
    <row r="20">
      <c r="A20" s="468">
        <v>11.0</v>
      </c>
      <c r="B20" s="469" t="s">
        <v>32</v>
      </c>
      <c r="C20" s="470" t="s">
        <v>274</v>
      </c>
      <c r="D20" s="471" t="s">
        <v>275</v>
      </c>
    </row>
    <row r="21" ht="50.25" customHeight="1">
      <c r="A21" s="468">
        <v>12.0</v>
      </c>
      <c r="B21" s="469" t="s">
        <v>31</v>
      </c>
      <c r="C21" s="470" t="s">
        <v>276</v>
      </c>
      <c r="D21" s="471">
        <v>0.0</v>
      </c>
    </row>
    <row r="22" ht="70.5" customHeight="1">
      <c r="A22" s="468">
        <v>13.0</v>
      </c>
      <c r="B22" s="469" t="s">
        <v>277</v>
      </c>
      <c r="C22" s="470" t="s">
        <v>278</v>
      </c>
      <c r="D22" s="471" t="s">
        <v>265</v>
      </c>
    </row>
    <row r="23" ht="72.0" customHeight="1">
      <c r="A23" s="468">
        <v>14.0</v>
      </c>
      <c r="B23" s="469" t="s">
        <v>29</v>
      </c>
      <c r="C23" s="470" t="s">
        <v>279</v>
      </c>
      <c r="D23" s="471" t="s">
        <v>275</v>
      </c>
    </row>
    <row r="24">
      <c r="A24" s="468">
        <v>15.0</v>
      </c>
      <c r="B24" s="469" t="s">
        <v>280</v>
      </c>
      <c r="C24" s="470" t="s">
        <v>281</v>
      </c>
      <c r="D24" s="471" t="s">
        <v>265</v>
      </c>
    </row>
    <row r="25">
      <c r="A25" s="468">
        <v>16.0</v>
      </c>
      <c r="B25" s="469" t="s">
        <v>27</v>
      </c>
      <c r="C25" s="470" t="s">
        <v>282</v>
      </c>
      <c r="D25" s="471" t="s">
        <v>275</v>
      </c>
    </row>
    <row r="26" ht="72.75" customHeight="1">
      <c r="A26" s="468">
        <v>17.0</v>
      </c>
      <c r="B26" s="469" t="s">
        <v>28</v>
      </c>
      <c r="C26" s="470" t="s">
        <v>283</v>
      </c>
      <c r="D26" s="471" t="s">
        <v>275</v>
      </c>
    </row>
    <row r="27" ht="51.75" customHeight="1">
      <c r="A27" s="468">
        <v>18.0</v>
      </c>
      <c r="B27" s="469" t="s">
        <v>34</v>
      </c>
      <c r="C27" s="470" t="s">
        <v>284</v>
      </c>
      <c r="D27" s="471">
        <v>1.0</v>
      </c>
    </row>
    <row r="28" ht="25.5" customHeight="1">
      <c r="A28" s="465"/>
      <c r="B28" s="472" t="s">
        <v>285</v>
      </c>
      <c r="C28" s="472"/>
      <c r="D28" s="472"/>
    </row>
    <row r="29">
      <c r="A29" s="465"/>
      <c r="B29" s="473"/>
      <c r="C29" s="473"/>
      <c r="D29" s="473"/>
    </row>
    <row r="30">
      <c r="A30" s="465"/>
      <c r="B30" s="464" t="s">
        <v>286</v>
      </c>
      <c r="C30" s="464" t="s">
        <v>287</v>
      </c>
      <c r="D30" s="465"/>
    </row>
    <row r="31">
      <c r="A31" s="465"/>
      <c r="B31" s="474">
        <v>1.0</v>
      </c>
      <c r="C31" s="475" t="s">
        <v>288</v>
      </c>
      <c r="D31" s="465"/>
    </row>
    <row r="32">
      <c r="A32" s="465"/>
      <c r="B32" s="474">
        <v>2.0</v>
      </c>
      <c r="C32" s="475" t="s">
        <v>289</v>
      </c>
      <c r="D32" s="465"/>
    </row>
    <row r="33">
      <c r="A33" s="476"/>
      <c r="B33" s="474">
        <v>3.0</v>
      </c>
      <c r="C33" s="475" t="s">
        <v>290</v>
      </c>
      <c r="D33" s="465"/>
    </row>
    <row r="34">
      <c r="B34" s="474">
        <v>4.0</v>
      </c>
      <c r="C34" s="475" t="s">
        <v>291</v>
      </c>
      <c r="D34" s="465"/>
    </row>
    <row r="35" ht="48.0" customHeight="1">
      <c r="A35" s="465"/>
      <c r="B35" s="474">
        <v>5.0</v>
      </c>
      <c r="C35" s="475" t="s">
        <v>292</v>
      </c>
      <c r="D35" s="465"/>
    </row>
    <row r="36">
      <c r="A36" s="465"/>
      <c r="B36" s="477"/>
      <c r="C36" s="465"/>
      <c r="D36" s="465"/>
    </row>
    <row r="37">
      <c r="A37" s="465"/>
      <c r="B37" s="465"/>
      <c r="C37" s="465"/>
      <c r="D37" s="465"/>
    </row>
    <row r="38">
      <c r="A38" s="465"/>
      <c r="B38" s="465"/>
      <c r="C38" s="465"/>
      <c r="D38" s="465"/>
    </row>
    <row r="39">
      <c r="A39" s="466" t="s">
        <v>293</v>
      </c>
      <c r="B39" s="465"/>
      <c r="C39" s="478" t="s">
        <v>294</v>
      </c>
      <c r="D39" s="465"/>
    </row>
    <row r="40" ht="49.5" customHeight="1">
      <c r="A40" s="465"/>
      <c r="B40" s="465"/>
      <c r="C40" s="479" t="s">
        <v>295</v>
      </c>
      <c r="D40" s="465"/>
    </row>
    <row r="41">
      <c r="A41" s="465"/>
      <c r="B41" s="465"/>
      <c r="C41" s="478" t="s">
        <v>296</v>
      </c>
      <c r="D41" s="465"/>
    </row>
    <row r="42">
      <c r="A42" s="477"/>
      <c r="B42" s="477"/>
      <c r="C42" s="4" t="s">
        <v>297</v>
      </c>
      <c r="D42" s="477"/>
    </row>
    <row r="43">
      <c r="A43" s="477"/>
      <c r="B43" s="477"/>
      <c r="C43" s="4" t="s">
        <v>298</v>
      </c>
      <c r="D43" s="477"/>
    </row>
  </sheetData>
  <mergeCells count="7">
    <mergeCell ref="A1:D1"/>
    <mergeCell ref="A2:D2"/>
    <mergeCell ref="A3:D3"/>
    <mergeCell ref="A4:D4"/>
    <mergeCell ref="A5:D5"/>
    <mergeCell ref="A7:D7"/>
    <mergeCell ref="A33:A34"/>
  </mergeCells>
  <printOptions/>
  <pageMargins bottom="0.27920993928291804" footer="0.0" header="0.0" left="0.25" right="0.25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6" max="6" width="29.43"/>
  </cols>
  <sheetData>
    <row r="1" ht="22.5" customHeight="1">
      <c r="A1" s="480" t="s">
        <v>91</v>
      </c>
      <c r="G1" s="481"/>
    </row>
    <row r="2" ht="15.0" customHeight="1">
      <c r="A2" s="480" t="s">
        <v>299</v>
      </c>
      <c r="G2" s="481"/>
    </row>
    <row r="3" ht="26.25" customHeight="1">
      <c r="A3" s="482" t="s">
        <v>4</v>
      </c>
      <c r="B3" s="482" t="s">
        <v>5</v>
      </c>
      <c r="C3" s="483" t="s">
        <v>300</v>
      </c>
      <c r="D3" s="7"/>
      <c r="E3" s="7"/>
      <c r="F3" s="8"/>
      <c r="G3" s="481"/>
    </row>
    <row r="4" ht="10.5" customHeight="1">
      <c r="A4" s="12"/>
      <c r="B4" s="12"/>
      <c r="F4" s="13"/>
      <c r="G4" s="481"/>
    </row>
    <row r="5">
      <c r="A5" s="12"/>
      <c r="B5" s="12"/>
      <c r="C5" s="484" t="s">
        <v>99</v>
      </c>
      <c r="D5" s="7"/>
      <c r="E5" s="7"/>
      <c r="F5" s="8"/>
      <c r="G5" s="328"/>
    </row>
    <row r="6">
      <c r="A6" s="22"/>
      <c r="B6" s="22"/>
      <c r="C6" s="144" t="s">
        <v>13</v>
      </c>
      <c r="D6" s="485" t="s">
        <v>301</v>
      </c>
      <c r="E6" s="486" t="s">
        <v>14</v>
      </c>
      <c r="F6" s="144" t="s">
        <v>15</v>
      </c>
      <c r="G6" s="328"/>
    </row>
    <row r="7">
      <c r="A7" s="147">
        <v>1.0</v>
      </c>
      <c r="B7" s="148" t="s">
        <v>17</v>
      </c>
      <c r="C7" s="149"/>
      <c r="D7" s="149"/>
      <c r="E7" s="149"/>
      <c r="F7" s="149"/>
      <c r="G7" s="487"/>
    </row>
    <row r="8">
      <c r="A8" s="147">
        <v>2.0</v>
      </c>
      <c r="B8" s="159" t="s">
        <v>18</v>
      </c>
      <c r="C8" s="160">
        <v>502025.0</v>
      </c>
      <c r="D8" s="160">
        <v>502025.0</v>
      </c>
      <c r="E8" s="149"/>
      <c r="F8" s="488">
        <f t="shared" ref="F8:F12" si="1">C8-D8</f>
        <v>0</v>
      </c>
      <c r="G8" s="487"/>
    </row>
    <row r="9">
      <c r="A9" s="147">
        <v>3.0</v>
      </c>
      <c r="B9" s="148" t="s">
        <v>19</v>
      </c>
      <c r="C9" s="160">
        <v>389000.0</v>
      </c>
      <c r="D9" s="149"/>
      <c r="E9" s="149"/>
      <c r="F9" s="149">
        <f t="shared" si="1"/>
        <v>389000</v>
      </c>
      <c r="G9" s="487"/>
    </row>
    <row r="10">
      <c r="A10" s="147">
        <v>4.0</v>
      </c>
      <c r="B10" s="148" t="s">
        <v>20</v>
      </c>
      <c r="C10" s="160">
        <v>346550.0</v>
      </c>
      <c r="D10" s="489">
        <v>346550.0</v>
      </c>
      <c r="E10" s="149"/>
      <c r="F10" s="488">
        <f t="shared" si="1"/>
        <v>0</v>
      </c>
      <c r="G10" s="487"/>
    </row>
    <row r="11">
      <c r="A11" s="147">
        <v>5.0</v>
      </c>
      <c r="B11" s="148" t="s">
        <v>21</v>
      </c>
      <c r="C11" s="160">
        <v>244900.0</v>
      </c>
      <c r="D11" s="149"/>
      <c r="E11" s="149"/>
      <c r="F11" s="149">
        <f t="shared" si="1"/>
        <v>244900</v>
      </c>
      <c r="G11" s="487"/>
    </row>
    <row r="12">
      <c r="A12" s="147">
        <v>6.0</v>
      </c>
      <c r="B12" s="148" t="s">
        <v>22</v>
      </c>
      <c r="C12" s="160">
        <v>162500.0</v>
      </c>
      <c r="D12" s="149"/>
      <c r="E12" s="149"/>
      <c r="F12" s="149">
        <f t="shared" si="1"/>
        <v>162500</v>
      </c>
      <c r="G12" s="487"/>
    </row>
    <row r="13">
      <c r="A13" s="147">
        <v>7.0</v>
      </c>
      <c r="B13" s="148" t="s">
        <v>23</v>
      </c>
      <c r="C13" s="160">
        <v>216800.0</v>
      </c>
      <c r="D13" s="149"/>
      <c r="E13" s="160">
        <v>216800.0</v>
      </c>
      <c r="F13" s="488">
        <f>C13-E13</f>
        <v>0</v>
      </c>
      <c r="G13" s="487"/>
    </row>
    <row r="14">
      <c r="A14" s="147">
        <v>8.0</v>
      </c>
      <c r="B14" s="148" t="s">
        <v>24</v>
      </c>
      <c r="C14" s="160">
        <v>130225.0</v>
      </c>
      <c r="D14" s="149"/>
      <c r="E14" s="149"/>
      <c r="F14" s="149">
        <f t="shared" ref="F14:F19" si="2">C14-D14</f>
        <v>130225</v>
      </c>
      <c r="G14" s="487"/>
    </row>
    <row r="15">
      <c r="A15" s="147">
        <v>9.0</v>
      </c>
      <c r="B15" s="148" t="s">
        <v>25</v>
      </c>
      <c r="C15" s="160">
        <v>151475.0</v>
      </c>
      <c r="D15" s="160">
        <v>151475.0</v>
      </c>
      <c r="E15" s="149"/>
      <c r="F15" s="488">
        <f t="shared" si="2"/>
        <v>0</v>
      </c>
      <c r="G15" s="487"/>
    </row>
    <row r="16">
      <c r="A16" s="147">
        <v>10.0</v>
      </c>
      <c r="B16" s="148" t="s">
        <v>26</v>
      </c>
      <c r="C16" s="160">
        <v>123325.0</v>
      </c>
      <c r="D16" s="149"/>
      <c r="E16" s="149"/>
      <c r="F16" s="149">
        <f t="shared" si="2"/>
        <v>123325</v>
      </c>
      <c r="G16" s="487"/>
    </row>
    <row r="17">
      <c r="A17" s="147">
        <v>11.0</v>
      </c>
      <c r="B17" s="148" t="s">
        <v>27</v>
      </c>
      <c r="C17" s="160">
        <v>123600.0</v>
      </c>
      <c r="D17" s="149">
        <f>44325</f>
        <v>44325</v>
      </c>
      <c r="E17" s="149"/>
      <c r="F17" s="149">
        <f t="shared" si="2"/>
        <v>79275</v>
      </c>
      <c r="G17" s="487"/>
    </row>
    <row r="18">
      <c r="A18" s="147">
        <v>12.0</v>
      </c>
      <c r="B18" s="148" t="s">
        <v>28</v>
      </c>
      <c r="C18" s="160">
        <v>110425.0</v>
      </c>
      <c r="D18" s="490">
        <v>107300.0</v>
      </c>
      <c r="E18" s="149"/>
      <c r="F18" s="149">
        <f t="shared" si="2"/>
        <v>3125</v>
      </c>
      <c r="G18" s="487"/>
    </row>
    <row r="19">
      <c r="A19" s="147">
        <v>13.0</v>
      </c>
      <c r="B19" s="148" t="s">
        <v>29</v>
      </c>
      <c r="C19" s="160">
        <v>39375.0</v>
      </c>
      <c r="D19" s="149"/>
      <c r="E19" s="149"/>
      <c r="F19" s="149">
        <f t="shared" si="2"/>
        <v>39375</v>
      </c>
      <c r="G19" s="487"/>
    </row>
    <row r="20">
      <c r="A20" s="147">
        <v>14.0</v>
      </c>
      <c r="B20" s="148" t="s">
        <v>30</v>
      </c>
      <c r="C20" s="160">
        <v>89925.0</v>
      </c>
      <c r="D20" s="160"/>
      <c r="E20" s="160">
        <v>89925.0</v>
      </c>
      <c r="F20" s="149">
        <f>C20-E19</f>
        <v>89925</v>
      </c>
      <c r="G20" s="487"/>
    </row>
    <row r="21">
      <c r="A21" s="147">
        <v>15.0</v>
      </c>
      <c r="B21" s="148" t="s">
        <v>31</v>
      </c>
      <c r="C21" s="160">
        <v>96400.0</v>
      </c>
      <c r="D21" s="149"/>
      <c r="E21" s="149"/>
      <c r="F21" s="149">
        <f t="shared" ref="F21:F23" si="3">C21-D21</f>
        <v>96400</v>
      </c>
      <c r="G21" s="487"/>
    </row>
    <row r="22">
      <c r="A22" s="147">
        <v>16.0</v>
      </c>
      <c r="B22" s="148" t="s">
        <v>32</v>
      </c>
      <c r="C22" s="160">
        <v>86725.0</v>
      </c>
      <c r="D22" s="149"/>
      <c r="E22" s="149"/>
      <c r="F22" s="149">
        <f t="shared" si="3"/>
        <v>86725</v>
      </c>
      <c r="G22" s="487"/>
    </row>
    <row r="23">
      <c r="A23" s="147">
        <v>17.0</v>
      </c>
      <c r="B23" s="148" t="s">
        <v>33</v>
      </c>
      <c r="C23" s="160">
        <v>111275.0</v>
      </c>
      <c r="D23" s="149"/>
      <c r="E23" s="149"/>
      <c r="F23" s="149">
        <f t="shared" si="3"/>
        <v>111275</v>
      </c>
      <c r="G23" s="487"/>
    </row>
    <row r="24">
      <c r="A24" s="147">
        <v>18.0</v>
      </c>
      <c r="B24" s="148" t="s">
        <v>34</v>
      </c>
      <c r="C24" s="160">
        <v>103650.0</v>
      </c>
      <c r="D24" s="149"/>
      <c r="E24" s="160"/>
      <c r="G24" s="491"/>
    </row>
    <row r="25">
      <c r="A25" s="147">
        <v>19.0</v>
      </c>
      <c r="B25" s="148" t="s">
        <v>35</v>
      </c>
      <c r="C25" s="160">
        <v>76825.0</v>
      </c>
      <c r="D25" s="160">
        <v>76825.0</v>
      </c>
      <c r="E25" s="149"/>
      <c r="F25" s="488">
        <f>C25-D25</f>
        <v>0</v>
      </c>
      <c r="G25" s="487"/>
    </row>
    <row r="26">
      <c r="A26" s="492"/>
      <c r="B26" s="21"/>
      <c r="C26" s="493">
        <f t="shared" ref="C26:D26" si="4">SUM(C8:C25)</f>
        <v>3105000</v>
      </c>
      <c r="D26" s="493">
        <f t="shared" si="4"/>
        <v>1228500</v>
      </c>
      <c r="E26" s="494">
        <f>SUM(E7:E25)</f>
        <v>306725</v>
      </c>
      <c r="F26" s="494">
        <f>SUM(F8:F25)</f>
        <v>1556050</v>
      </c>
      <c r="G26" s="495"/>
    </row>
  </sheetData>
  <mergeCells count="7">
    <mergeCell ref="A1:F1"/>
    <mergeCell ref="A2:F2"/>
    <mergeCell ref="A3:A6"/>
    <mergeCell ref="B3:B6"/>
    <mergeCell ref="C3:F4"/>
    <mergeCell ref="C5:F5"/>
    <mergeCell ref="A26:B2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7.14"/>
    <col customWidth="1" min="3" max="3" width="86.14"/>
    <col customWidth="1" min="4" max="4" width="60.57"/>
  </cols>
  <sheetData>
    <row r="1">
      <c r="A1" s="496" t="s">
        <v>302</v>
      </c>
    </row>
    <row r="2">
      <c r="A2" s="497" t="s">
        <v>303</v>
      </c>
    </row>
    <row r="3">
      <c r="A3" s="498" t="s">
        <v>304</v>
      </c>
    </row>
    <row r="4">
      <c r="A4" s="464" t="s">
        <v>255</v>
      </c>
    </row>
    <row r="5">
      <c r="A5" s="498" t="s">
        <v>305</v>
      </c>
    </row>
    <row r="6">
      <c r="A6" s="499"/>
      <c r="B6" s="499"/>
      <c r="C6" s="499"/>
      <c r="D6" s="499"/>
    </row>
    <row r="7">
      <c r="A7" s="466" t="s">
        <v>257</v>
      </c>
    </row>
    <row r="8">
      <c r="A8" s="499"/>
      <c r="B8" s="499"/>
      <c r="C8" s="499"/>
      <c r="D8" s="499"/>
    </row>
    <row r="9">
      <c r="A9" s="467" t="s">
        <v>4</v>
      </c>
      <c r="B9" s="467" t="s">
        <v>5</v>
      </c>
      <c r="C9" s="467" t="s">
        <v>306</v>
      </c>
      <c r="D9" s="467" t="s">
        <v>307</v>
      </c>
    </row>
    <row r="10" ht="340.5" customHeight="1">
      <c r="A10" s="468">
        <v>1.0</v>
      </c>
      <c r="B10" s="500" t="s">
        <v>32</v>
      </c>
      <c r="C10" s="501" t="s">
        <v>308</v>
      </c>
      <c r="D10" s="502" t="s">
        <v>309</v>
      </c>
    </row>
    <row r="11">
      <c r="A11" s="468">
        <v>2.0</v>
      </c>
      <c r="B11" s="500" t="s">
        <v>20</v>
      </c>
      <c r="C11" s="501" t="s">
        <v>310</v>
      </c>
      <c r="D11" s="502" t="s">
        <v>311</v>
      </c>
    </row>
    <row r="12">
      <c r="A12" s="468">
        <v>3.0</v>
      </c>
      <c r="B12" s="500" t="s">
        <v>25</v>
      </c>
      <c r="C12" s="501" t="s">
        <v>312</v>
      </c>
      <c r="D12" s="503" t="s">
        <v>313</v>
      </c>
    </row>
    <row r="13">
      <c r="A13" s="499"/>
      <c r="B13" s="499"/>
      <c r="C13" s="499"/>
      <c r="D13" s="499"/>
    </row>
    <row r="14">
      <c r="A14" s="499"/>
      <c r="B14" s="504" t="s">
        <v>286</v>
      </c>
      <c r="C14" s="504" t="s">
        <v>287</v>
      </c>
      <c r="D14" s="499"/>
    </row>
    <row r="15">
      <c r="A15" s="499"/>
      <c r="B15" s="505">
        <v>1.0</v>
      </c>
      <c r="C15" s="506" t="s">
        <v>288</v>
      </c>
      <c r="D15" s="499"/>
    </row>
    <row r="16">
      <c r="A16" s="499"/>
      <c r="B16" s="505">
        <v>2.0</v>
      </c>
      <c r="C16" s="506" t="s">
        <v>289</v>
      </c>
      <c r="D16" s="499"/>
    </row>
    <row r="17">
      <c r="A17" s="507"/>
      <c r="B17" s="505">
        <v>3.0</v>
      </c>
      <c r="C17" s="506" t="s">
        <v>290</v>
      </c>
      <c r="D17" s="499"/>
    </row>
    <row r="18">
      <c r="B18" s="505">
        <v>4.0</v>
      </c>
      <c r="C18" s="506" t="s">
        <v>291</v>
      </c>
      <c r="D18" s="499"/>
    </row>
    <row r="19">
      <c r="A19" s="499"/>
      <c r="B19" s="505">
        <v>5.0</v>
      </c>
      <c r="C19" s="506" t="s">
        <v>292</v>
      </c>
      <c r="D19" s="499"/>
    </row>
    <row r="20">
      <c r="A20" s="499"/>
      <c r="B20" s="499"/>
      <c r="C20" s="499"/>
      <c r="D20" s="499"/>
    </row>
    <row r="21">
      <c r="A21" s="508" t="s">
        <v>293</v>
      </c>
      <c r="B21" s="499"/>
      <c r="C21" s="509" t="s">
        <v>294</v>
      </c>
      <c r="D21" s="499"/>
    </row>
    <row r="22">
      <c r="A22" s="499"/>
      <c r="B22" s="499"/>
      <c r="C22" s="510" t="s">
        <v>295</v>
      </c>
      <c r="D22" s="499"/>
    </row>
    <row r="23">
      <c r="A23" s="499"/>
      <c r="B23" s="499"/>
      <c r="C23" s="509" t="s">
        <v>296</v>
      </c>
      <c r="D23" s="499"/>
    </row>
    <row r="24">
      <c r="C24" s="511" t="s">
        <v>297</v>
      </c>
    </row>
    <row r="25">
      <c r="C25" s="511" t="s">
        <v>298</v>
      </c>
    </row>
  </sheetData>
  <mergeCells count="7">
    <mergeCell ref="A1:D1"/>
    <mergeCell ref="A2:D2"/>
    <mergeCell ref="A3:D3"/>
    <mergeCell ref="A4:D4"/>
    <mergeCell ref="A5:D5"/>
    <mergeCell ref="A7:D7"/>
    <mergeCell ref="A17:A18"/>
  </mergeCells>
  <printOptions/>
  <pageMargins bottom="0.27920993928291804" footer="0.0" header="0.0" left="0.25" right="0.25" top="0.24818661269592712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6.57"/>
    <col customWidth="1" min="3" max="3" width="17.43"/>
    <col customWidth="1" min="4" max="4" width="16.71"/>
    <col customWidth="1" min="5" max="5" width="17.0"/>
    <col customWidth="1" min="6" max="6" width="16.86"/>
    <col customWidth="1" min="7" max="7" width="20.29"/>
    <col customWidth="1" min="8" max="8" width="17.0"/>
    <col customWidth="1" min="9" max="32" width="20.29"/>
  </cols>
  <sheetData>
    <row r="1" ht="21.75" customHeight="1">
      <c r="A1" s="512" t="s">
        <v>314</v>
      </c>
      <c r="B1" s="7"/>
      <c r="C1" s="7"/>
      <c r="D1" s="7"/>
      <c r="E1" s="7"/>
      <c r="F1" s="7"/>
      <c r="G1" s="7"/>
      <c r="H1" s="8"/>
      <c r="I1" s="513"/>
    </row>
    <row r="2" ht="24.75" customHeight="1">
      <c r="A2" s="362"/>
      <c r="H2" s="13"/>
      <c r="I2" s="513"/>
    </row>
    <row r="3" ht="22.5" customHeight="1">
      <c r="A3" s="14"/>
      <c r="B3" s="15"/>
      <c r="C3" s="15"/>
      <c r="D3" s="15"/>
      <c r="E3" s="15"/>
      <c r="F3" s="15"/>
      <c r="G3" s="15"/>
      <c r="H3" s="16"/>
      <c r="I3" s="348"/>
    </row>
    <row r="4" ht="78.75" customHeight="1">
      <c r="A4" s="514" t="s">
        <v>5</v>
      </c>
      <c r="B4" s="514" t="s">
        <v>315</v>
      </c>
      <c r="C4" s="514" t="s">
        <v>316</v>
      </c>
      <c r="D4" s="514" t="s">
        <v>317</v>
      </c>
      <c r="E4" s="514" t="s">
        <v>14</v>
      </c>
      <c r="F4" s="515" t="s">
        <v>318</v>
      </c>
      <c r="G4" s="514" t="s">
        <v>319</v>
      </c>
      <c r="H4" s="516" t="s">
        <v>320</v>
      </c>
    </row>
    <row r="5" ht="31.5" customHeight="1">
      <c r="A5" s="517" t="s">
        <v>18</v>
      </c>
      <c r="B5" s="518">
        <v>4.0</v>
      </c>
      <c r="C5" s="519">
        <v>357200.0</v>
      </c>
      <c r="D5" s="519">
        <v>357200.0</v>
      </c>
      <c r="E5" s="520">
        <f>85868+103952+94034+36922</f>
        <v>320776</v>
      </c>
      <c r="F5" s="520">
        <f>10500</f>
        <v>10500</v>
      </c>
      <c r="G5" s="521">
        <f t="shared" ref="G5:G14" si="1">SUM(C5-E5)</f>
        <v>36424</v>
      </c>
      <c r="H5" s="520">
        <v>36424.0</v>
      </c>
    </row>
    <row r="6" ht="31.5" customHeight="1">
      <c r="A6" s="517" t="s">
        <v>19</v>
      </c>
      <c r="B6" s="518">
        <v>3.0</v>
      </c>
      <c r="C6" s="519">
        <v>253200.0</v>
      </c>
      <c r="D6" s="519">
        <v>253200.0</v>
      </c>
      <c r="E6" s="522">
        <v>212744.0</v>
      </c>
      <c r="F6" s="520">
        <v>7500.0</v>
      </c>
      <c r="G6" s="521">
        <f t="shared" si="1"/>
        <v>40456</v>
      </c>
      <c r="H6" s="520">
        <v>40456.0</v>
      </c>
    </row>
    <row r="7" ht="31.5" customHeight="1">
      <c r="A7" s="517" t="s">
        <v>20</v>
      </c>
      <c r="B7" s="518">
        <v>3.0</v>
      </c>
      <c r="C7" s="519">
        <v>194400.0</v>
      </c>
      <c r="D7" s="519">
        <v>194400.0</v>
      </c>
      <c r="E7" s="520">
        <v>194400.0</v>
      </c>
      <c r="F7" s="520">
        <v>6000.0</v>
      </c>
      <c r="G7" s="521">
        <f t="shared" si="1"/>
        <v>0</v>
      </c>
      <c r="H7" s="523">
        <v>0.0</v>
      </c>
    </row>
    <row r="8" ht="31.5" customHeight="1">
      <c r="A8" s="517" t="s">
        <v>21</v>
      </c>
      <c r="B8" s="518">
        <v>4.0</v>
      </c>
      <c r="C8" s="519">
        <v>416000.0</v>
      </c>
      <c r="D8" s="519">
        <v>416000.0</v>
      </c>
      <c r="E8" s="522">
        <f>104000+79107.9+104000+81190.5</f>
        <v>368298.4</v>
      </c>
      <c r="F8" s="520">
        <v>12000.0</v>
      </c>
      <c r="G8" s="521">
        <f t="shared" si="1"/>
        <v>47701.6</v>
      </c>
      <c r="H8" s="520">
        <f>SUM(G8)</f>
        <v>47701.6</v>
      </c>
    </row>
    <row r="9" ht="31.5" customHeight="1">
      <c r="A9" s="517" t="s">
        <v>22</v>
      </c>
      <c r="B9" s="518">
        <v>3.0</v>
      </c>
      <c r="C9" s="519">
        <v>253200.0</v>
      </c>
      <c r="D9" s="519">
        <v>253200.0</v>
      </c>
      <c r="E9" s="520">
        <v>208039.85</v>
      </c>
      <c r="F9" s="520">
        <v>7500.0</v>
      </c>
      <c r="G9" s="521">
        <f t="shared" si="1"/>
        <v>45160.15</v>
      </c>
      <c r="H9" s="520">
        <v>45160.15</v>
      </c>
    </row>
    <row r="10" ht="31.5" customHeight="1">
      <c r="A10" s="517" t="s">
        <v>24</v>
      </c>
      <c r="B10" s="518">
        <v>2.0</v>
      </c>
      <c r="C10" s="519">
        <v>208000.0</v>
      </c>
      <c r="D10" s="519">
        <v>208000.0</v>
      </c>
      <c r="E10" s="522">
        <v>208000.0</v>
      </c>
      <c r="F10" s="522">
        <v>6000.0</v>
      </c>
      <c r="G10" s="521">
        <f t="shared" si="1"/>
        <v>0</v>
      </c>
      <c r="H10" s="523">
        <v>0.0</v>
      </c>
    </row>
    <row r="11" ht="31.5" customHeight="1">
      <c r="A11" s="517" t="s">
        <v>25</v>
      </c>
      <c r="B11" s="518">
        <v>1.0</v>
      </c>
      <c r="C11" s="519">
        <v>104000.0</v>
      </c>
      <c r="D11" s="519">
        <v>104000.0</v>
      </c>
      <c r="E11" s="520">
        <v>79014.0</v>
      </c>
      <c r="F11" s="520">
        <v>3000.0</v>
      </c>
      <c r="G11" s="521">
        <f t="shared" si="1"/>
        <v>24986</v>
      </c>
      <c r="H11" s="520">
        <v>24986.0</v>
      </c>
    </row>
    <row r="12" ht="31.5" customHeight="1">
      <c r="A12" s="517" t="s">
        <v>26</v>
      </c>
      <c r="B12" s="518">
        <v>6.0</v>
      </c>
      <c r="C12" s="519">
        <v>624000.0</v>
      </c>
      <c r="D12" s="519">
        <v>624000.0</v>
      </c>
      <c r="E12" s="522">
        <v>599327.0</v>
      </c>
      <c r="F12" s="520">
        <v>18000.0</v>
      </c>
      <c r="G12" s="521">
        <f t="shared" si="1"/>
        <v>24673</v>
      </c>
      <c r="H12" s="520">
        <v>24673.0</v>
      </c>
    </row>
    <row r="13" ht="31.5" customHeight="1">
      <c r="A13" s="517" t="s">
        <v>27</v>
      </c>
      <c r="B13" s="518">
        <v>4.0</v>
      </c>
      <c r="C13" s="519">
        <v>357200.0</v>
      </c>
      <c r="D13" s="519">
        <v>357200.0</v>
      </c>
      <c r="E13" s="520">
        <v>324024.0</v>
      </c>
      <c r="F13" s="520">
        <v>10500.0</v>
      </c>
      <c r="G13" s="521">
        <f t="shared" si="1"/>
        <v>33176</v>
      </c>
      <c r="H13" s="520">
        <v>33176.0</v>
      </c>
    </row>
    <row r="14" ht="31.5" customHeight="1">
      <c r="A14" s="517" t="s">
        <v>33</v>
      </c>
      <c r="B14" s="518">
        <v>1.0</v>
      </c>
      <c r="C14" s="519">
        <v>45200.0</v>
      </c>
      <c r="D14" s="519">
        <v>45200.0</v>
      </c>
      <c r="E14" s="520">
        <v>45200.0</v>
      </c>
      <c r="F14" s="520">
        <v>1500.0</v>
      </c>
      <c r="G14" s="521">
        <f t="shared" si="1"/>
        <v>0</v>
      </c>
      <c r="H14" s="520">
        <v>0.0</v>
      </c>
    </row>
    <row r="15" ht="31.5" customHeight="1">
      <c r="A15" s="524" t="s">
        <v>36</v>
      </c>
      <c r="B15" s="524">
        <f t="shared" ref="B15:H15" si="2">SUM(B5:B14)</f>
        <v>31</v>
      </c>
      <c r="C15" s="525">
        <f t="shared" si="2"/>
        <v>2812400</v>
      </c>
      <c r="D15" s="525">
        <f t="shared" si="2"/>
        <v>2812400</v>
      </c>
      <c r="E15" s="525">
        <f t="shared" si="2"/>
        <v>2559823.25</v>
      </c>
      <c r="F15" s="525">
        <f t="shared" si="2"/>
        <v>82500</v>
      </c>
      <c r="G15" s="525">
        <f t="shared" si="2"/>
        <v>252576.75</v>
      </c>
      <c r="H15" s="525">
        <f t="shared" si="2"/>
        <v>252576.75</v>
      </c>
    </row>
    <row r="16" ht="31.5" customHeight="1">
      <c r="A16" s="526"/>
      <c r="B16" s="527" t="s">
        <v>321</v>
      </c>
      <c r="H16" s="527"/>
    </row>
    <row r="17" ht="31.5" customHeight="1">
      <c r="A17" s="528"/>
      <c r="B17" s="528"/>
      <c r="C17" s="528"/>
      <c r="D17" s="528"/>
      <c r="E17" s="528"/>
      <c r="F17" s="528"/>
      <c r="G17" s="528"/>
      <c r="H17" s="528"/>
    </row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  <row r="27" ht="31.5" customHeight="1"/>
    <row r="28" ht="31.5" customHeight="1"/>
    <row r="29" ht="31.5" customHeight="1"/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</sheetData>
  <mergeCells count="2">
    <mergeCell ref="A1:H3"/>
    <mergeCell ref="B16:G16"/>
  </mergeCells>
  <printOptions/>
  <pageMargins bottom="0.17452109531084736" footer="0.0" header="0.0" left="0.25" right="0.25" top="0.7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3" max="3" width="9.86"/>
    <col customWidth="1" min="4" max="4" width="10.86"/>
    <col customWidth="1" min="5" max="5" width="12.14"/>
    <col customWidth="1" min="6" max="6" width="13.29"/>
    <col customWidth="1" min="7" max="7" width="14.0"/>
    <col customWidth="1" min="8" max="8" width="13.29"/>
    <col customWidth="1" min="9" max="9" width="13.86"/>
    <col customWidth="1" min="10" max="10" width="12.0"/>
    <col customWidth="1" min="11" max="11" width="13.0"/>
    <col customWidth="1" min="12" max="12" width="10.86"/>
    <col customWidth="1" min="13" max="13" width="13.14"/>
    <col customWidth="1" min="14" max="14" width="14.57"/>
    <col customWidth="1" min="15" max="15" width="8.14"/>
    <col customWidth="1" min="16" max="16" width="9.86"/>
    <col customWidth="1" min="17" max="17" width="16.29"/>
    <col customWidth="1" min="20" max="21" width="16.14"/>
  </cols>
  <sheetData>
    <row r="1" ht="20.25" customHeight="1">
      <c r="A1" s="132" t="s">
        <v>322</v>
      </c>
      <c r="O1" s="529"/>
      <c r="P1" s="530" t="s">
        <v>323</v>
      </c>
      <c r="V1" s="529"/>
      <c r="W1" s="529"/>
      <c r="X1" s="529"/>
      <c r="Y1" s="529"/>
      <c r="Z1" s="529"/>
    </row>
    <row r="2" ht="20.25" customHeight="1">
      <c r="A2" s="531" t="s">
        <v>324</v>
      </c>
      <c r="O2" s="529"/>
      <c r="P2" s="530" t="s">
        <v>325</v>
      </c>
      <c r="V2" s="529"/>
      <c r="W2" s="529"/>
      <c r="X2" s="529"/>
      <c r="Y2" s="529"/>
      <c r="Z2" s="529"/>
    </row>
    <row r="3" ht="20.25" customHeight="1">
      <c r="A3" s="532" t="s">
        <v>4</v>
      </c>
      <c r="B3" s="532" t="s">
        <v>5</v>
      </c>
      <c r="C3" s="533" t="s">
        <v>326</v>
      </c>
      <c r="D3" s="7"/>
      <c r="E3" s="8"/>
      <c r="F3" s="534" t="s">
        <v>327</v>
      </c>
      <c r="G3" s="7"/>
      <c r="H3" s="8"/>
      <c r="I3" s="535"/>
      <c r="J3" s="7"/>
      <c r="K3" s="8"/>
      <c r="L3" s="535"/>
      <c r="M3" s="7"/>
      <c r="N3" s="8"/>
      <c r="O3" s="529"/>
      <c r="P3" s="532" t="s">
        <v>4</v>
      </c>
      <c r="Q3" s="532" t="s">
        <v>10</v>
      </c>
      <c r="R3" s="536" t="s">
        <v>11</v>
      </c>
      <c r="S3" s="7"/>
      <c r="T3" s="7"/>
      <c r="U3" s="8"/>
      <c r="V3" s="529"/>
      <c r="W3" s="529"/>
      <c r="X3" s="529"/>
      <c r="Y3" s="529"/>
      <c r="Z3" s="529"/>
    </row>
    <row r="4" ht="20.25" customHeight="1">
      <c r="A4" s="12"/>
      <c r="B4" s="12"/>
      <c r="E4" s="13"/>
      <c r="F4" s="14"/>
      <c r="G4" s="15"/>
      <c r="H4" s="16"/>
      <c r="I4" s="14"/>
      <c r="J4" s="15"/>
      <c r="K4" s="16"/>
      <c r="L4" s="14"/>
      <c r="M4" s="15"/>
      <c r="N4" s="16"/>
      <c r="O4" s="529"/>
      <c r="P4" s="12"/>
      <c r="Q4" s="12"/>
      <c r="R4" s="14"/>
      <c r="S4" s="15"/>
      <c r="T4" s="15"/>
      <c r="U4" s="16"/>
      <c r="V4" s="529"/>
      <c r="W4" s="529"/>
      <c r="X4" s="529"/>
      <c r="Y4" s="529"/>
      <c r="Z4" s="529"/>
    </row>
    <row r="5" ht="20.25" customHeight="1">
      <c r="A5" s="12"/>
      <c r="B5" s="12"/>
      <c r="C5" s="537" t="s">
        <v>199</v>
      </c>
      <c r="D5" s="7"/>
      <c r="E5" s="8"/>
      <c r="F5" s="537" t="s">
        <v>199</v>
      </c>
      <c r="G5" s="7"/>
      <c r="H5" s="8"/>
      <c r="I5" s="537" t="s">
        <v>199</v>
      </c>
      <c r="J5" s="7"/>
      <c r="K5" s="8"/>
      <c r="L5" s="537" t="s">
        <v>199</v>
      </c>
      <c r="M5" s="7"/>
      <c r="N5" s="8"/>
      <c r="O5" s="529"/>
      <c r="P5" s="12"/>
      <c r="Q5" s="12"/>
      <c r="R5" s="538" t="s">
        <v>12</v>
      </c>
      <c r="S5" s="20"/>
      <c r="T5" s="20"/>
      <c r="U5" s="21"/>
      <c r="V5" s="529"/>
      <c r="W5" s="529"/>
      <c r="X5" s="529"/>
      <c r="Y5" s="529"/>
      <c r="Z5" s="529"/>
    </row>
    <row r="6" ht="20.25" customHeight="1">
      <c r="A6" s="22"/>
      <c r="B6" s="22"/>
      <c r="C6" s="539" t="s">
        <v>13</v>
      </c>
      <c r="D6" s="539" t="s">
        <v>14</v>
      </c>
      <c r="E6" s="540" t="s">
        <v>15</v>
      </c>
      <c r="F6" s="539" t="s">
        <v>13</v>
      </c>
      <c r="G6" s="539" t="s">
        <v>14</v>
      </c>
      <c r="H6" s="540" t="s">
        <v>15</v>
      </c>
      <c r="I6" s="539" t="s">
        <v>13</v>
      </c>
      <c r="J6" s="539" t="s">
        <v>14</v>
      </c>
      <c r="K6" s="540" t="s">
        <v>15</v>
      </c>
      <c r="L6" s="539" t="s">
        <v>13</v>
      </c>
      <c r="M6" s="539" t="s">
        <v>14</v>
      </c>
      <c r="N6" s="540" t="s">
        <v>15</v>
      </c>
      <c r="O6" s="529"/>
      <c r="P6" s="22"/>
      <c r="Q6" s="22"/>
      <c r="R6" s="539" t="s">
        <v>13</v>
      </c>
      <c r="S6" s="539" t="s">
        <v>14</v>
      </c>
      <c r="T6" s="539" t="s">
        <v>15</v>
      </c>
      <c r="U6" s="541" t="s">
        <v>16</v>
      </c>
      <c r="V6" s="529"/>
      <c r="W6" s="529"/>
      <c r="X6" s="529"/>
      <c r="Y6" s="529"/>
      <c r="Z6" s="529"/>
    </row>
    <row r="7" ht="20.25" customHeight="1">
      <c r="A7" s="538"/>
      <c r="B7" s="21"/>
      <c r="C7" s="542"/>
      <c r="D7" s="20"/>
      <c r="E7" s="21"/>
      <c r="F7" s="543"/>
      <c r="G7" s="20"/>
      <c r="H7" s="21"/>
      <c r="I7" s="543"/>
      <c r="J7" s="20"/>
      <c r="K7" s="20"/>
      <c r="L7" s="543"/>
      <c r="M7" s="20"/>
      <c r="N7" s="21"/>
      <c r="O7" s="529"/>
      <c r="P7" s="538"/>
      <c r="Q7" s="21"/>
      <c r="R7" s="542"/>
      <c r="S7" s="20"/>
      <c r="T7" s="21"/>
      <c r="U7" s="541"/>
      <c r="V7" s="529"/>
      <c r="W7" s="529"/>
      <c r="X7" s="529"/>
      <c r="Y7" s="529"/>
      <c r="Z7" s="529"/>
    </row>
    <row r="8" ht="20.25" customHeight="1">
      <c r="A8" s="544">
        <v>1.0</v>
      </c>
      <c r="B8" s="545"/>
      <c r="C8" s="546">
        <v>0.0</v>
      </c>
      <c r="D8" s="547">
        <v>0.0</v>
      </c>
      <c r="E8" s="548">
        <f t="shared" ref="E8:E26" si="2">SUM(C8-D8)</f>
        <v>0</v>
      </c>
      <c r="F8" s="546">
        <v>0.0</v>
      </c>
      <c r="G8" s="549">
        <v>0.0</v>
      </c>
      <c r="H8" s="550">
        <f t="shared" ref="H8:H26" si="3">SUM(F8-G8)</f>
        <v>0</v>
      </c>
      <c r="I8" s="551">
        <v>0.0</v>
      </c>
      <c r="J8" s="552">
        <v>0.0</v>
      </c>
      <c r="K8" s="548">
        <f t="shared" ref="K8:K26" si="4">SUM(I8-J8)</f>
        <v>0</v>
      </c>
      <c r="L8" s="553">
        <v>0.0</v>
      </c>
      <c r="M8" s="554">
        <v>0.0</v>
      </c>
      <c r="N8" s="555">
        <f>L8-M8</f>
        <v>0</v>
      </c>
      <c r="O8" s="556"/>
      <c r="P8" s="544">
        <v>1.0</v>
      </c>
      <c r="Q8" s="557" t="s">
        <v>17</v>
      </c>
      <c r="R8" s="551" t="str">
        <f t="shared" ref="R8:S8" si="1">C8+F8+I8+L8+C41+F41+I41+L41+#REF!+#REF!+#REF!+#REF!+#REF!</f>
        <v>#REF!</v>
      </c>
      <c r="S8" s="558" t="str">
        <f t="shared" si="1"/>
        <v>#REF!</v>
      </c>
      <c r="T8" s="559" t="str">
        <f t="shared" ref="T8:T27" si="5">R8-S8</f>
        <v>#REF!</v>
      </c>
      <c r="U8" s="560" t="str">
        <f t="shared" ref="U8:U27" si="6">S8*100/R8</f>
        <v>#REF!</v>
      </c>
      <c r="V8" s="529"/>
      <c r="W8" s="529"/>
      <c r="X8" s="529"/>
      <c r="Y8" s="529"/>
      <c r="Z8" s="529"/>
    </row>
    <row r="9" ht="20.25" customHeight="1">
      <c r="A9" s="544">
        <v>2.0</v>
      </c>
      <c r="B9" s="561"/>
      <c r="C9" s="562"/>
      <c r="D9" s="549"/>
      <c r="E9" s="548">
        <f t="shared" si="2"/>
        <v>0</v>
      </c>
      <c r="F9" s="563"/>
      <c r="G9" s="549"/>
      <c r="H9" s="548">
        <f t="shared" si="3"/>
        <v>0</v>
      </c>
      <c r="I9" s="551"/>
      <c r="J9" s="564"/>
      <c r="K9" s="548">
        <f t="shared" si="4"/>
        <v>0</v>
      </c>
      <c r="L9" s="553"/>
      <c r="M9" s="553">
        <v>0.0</v>
      </c>
      <c r="N9" s="565">
        <f t="shared" ref="N9:N26" si="7">SUM(L9-M9)</f>
        <v>0</v>
      </c>
      <c r="O9" s="556"/>
      <c r="P9" s="544">
        <v>2.0</v>
      </c>
      <c r="Q9" s="566" t="s">
        <v>18</v>
      </c>
      <c r="R9" s="551" t="str">
        <f t="shared" ref="R9:R26" si="8">C9+F9+I9+L9+C42+F42+I42+L42+#REF!+#REF!+#REF!+#REF!</f>
        <v>#REF!</v>
      </c>
      <c r="S9" s="551" t="str">
        <f t="shared" ref="S9:S26" si="9">D9+G9+J9+D42+G42+J42+M42+#REF!+#REF!+#REF!+#REF!</f>
        <v>#REF!</v>
      </c>
      <c r="T9" s="559" t="str">
        <f t="shared" si="5"/>
        <v>#REF!</v>
      </c>
      <c r="U9" s="560" t="str">
        <f t="shared" si="6"/>
        <v>#REF!</v>
      </c>
      <c r="V9" s="529"/>
      <c r="W9" s="529"/>
      <c r="X9" s="529"/>
      <c r="Y9" s="529"/>
      <c r="Z9" s="529"/>
    </row>
    <row r="10" ht="20.25" customHeight="1">
      <c r="A10" s="544">
        <v>3.0</v>
      </c>
      <c r="B10" s="545"/>
      <c r="C10" s="562"/>
      <c r="D10" s="549"/>
      <c r="E10" s="548">
        <f t="shared" si="2"/>
        <v>0</v>
      </c>
      <c r="F10" s="563"/>
      <c r="G10" s="549"/>
      <c r="H10" s="548">
        <f t="shared" si="3"/>
        <v>0</v>
      </c>
      <c r="I10" s="551"/>
      <c r="J10" s="564"/>
      <c r="K10" s="548">
        <f t="shared" si="4"/>
        <v>0</v>
      </c>
      <c r="L10" s="553"/>
      <c r="M10" s="553">
        <v>0.0</v>
      </c>
      <c r="N10" s="565">
        <f t="shared" si="7"/>
        <v>0</v>
      </c>
      <c r="O10" s="556"/>
      <c r="P10" s="544">
        <v>3.0</v>
      </c>
      <c r="Q10" s="557" t="s">
        <v>19</v>
      </c>
      <c r="R10" s="551" t="str">
        <f t="shared" si="8"/>
        <v>#REF!</v>
      </c>
      <c r="S10" s="551" t="str">
        <f t="shared" si="9"/>
        <v>#REF!</v>
      </c>
      <c r="T10" s="559" t="str">
        <f t="shared" si="5"/>
        <v>#REF!</v>
      </c>
      <c r="U10" s="560" t="str">
        <f t="shared" si="6"/>
        <v>#REF!</v>
      </c>
      <c r="V10" s="529"/>
      <c r="W10" s="529"/>
      <c r="X10" s="529"/>
      <c r="Y10" s="529"/>
      <c r="Z10" s="529"/>
    </row>
    <row r="11" ht="20.25" customHeight="1">
      <c r="A11" s="544">
        <v>4.0</v>
      </c>
      <c r="B11" s="545"/>
      <c r="C11" s="562"/>
      <c r="D11" s="549"/>
      <c r="E11" s="548">
        <f t="shared" si="2"/>
        <v>0</v>
      </c>
      <c r="F11" s="563"/>
      <c r="G11" s="549"/>
      <c r="H11" s="548">
        <f t="shared" si="3"/>
        <v>0</v>
      </c>
      <c r="I11" s="551"/>
      <c r="J11" s="564"/>
      <c r="K11" s="548">
        <f t="shared" si="4"/>
        <v>0</v>
      </c>
      <c r="L11" s="553"/>
      <c r="M11" s="553">
        <v>0.0</v>
      </c>
      <c r="N11" s="565">
        <f t="shared" si="7"/>
        <v>0</v>
      </c>
      <c r="O11" s="556"/>
      <c r="P11" s="544">
        <v>4.0</v>
      </c>
      <c r="Q11" s="557" t="s">
        <v>20</v>
      </c>
      <c r="R11" s="551" t="str">
        <f t="shared" si="8"/>
        <v>#REF!</v>
      </c>
      <c r="S11" s="551" t="str">
        <f t="shared" si="9"/>
        <v>#REF!</v>
      </c>
      <c r="T11" s="559" t="str">
        <f t="shared" si="5"/>
        <v>#REF!</v>
      </c>
      <c r="U11" s="560" t="str">
        <f t="shared" si="6"/>
        <v>#REF!</v>
      </c>
      <c r="V11" s="529"/>
      <c r="W11" s="529"/>
      <c r="X11" s="529"/>
      <c r="Y11" s="529"/>
      <c r="Z11" s="529"/>
    </row>
    <row r="12" ht="20.25" customHeight="1">
      <c r="A12" s="544">
        <v>5.0</v>
      </c>
      <c r="B12" s="545"/>
      <c r="C12" s="562"/>
      <c r="D12" s="549"/>
      <c r="E12" s="548">
        <f t="shared" si="2"/>
        <v>0</v>
      </c>
      <c r="F12" s="563"/>
      <c r="G12" s="549"/>
      <c r="H12" s="548">
        <f t="shared" si="3"/>
        <v>0</v>
      </c>
      <c r="I12" s="551"/>
      <c r="J12" s="564"/>
      <c r="K12" s="548">
        <f t="shared" si="4"/>
        <v>0</v>
      </c>
      <c r="L12" s="553"/>
      <c r="M12" s="553">
        <v>0.0</v>
      </c>
      <c r="N12" s="565">
        <f t="shared" si="7"/>
        <v>0</v>
      </c>
      <c r="O12" s="556"/>
      <c r="P12" s="544">
        <v>5.0</v>
      </c>
      <c r="Q12" s="557" t="s">
        <v>21</v>
      </c>
      <c r="R12" s="551" t="str">
        <f t="shared" si="8"/>
        <v>#REF!</v>
      </c>
      <c r="S12" s="551" t="str">
        <f t="shared" si="9"/>
        <v>#REF!</v>
      </c>
      <c r="T12" s="559" t="str">
        <f t="shared" si="5"/>
        <v>#REF!</v>
      </c>
      <c r="U12" s="560" t="str">
        <f t="shared" si="6"/>
        <v>#REF!</v>
      </c>
      <c r="V12" s="529"/>
      <c r="W12" s="529"/>
      <c r="X12" s="529"/>
      <c r="Y12" s="529"/>
      <c r="Z12" s="529"/>
    </row>
    <row r="13" ht="20.25" customHeight="1">
      <c r="A13" s="544">
        <v>6.0</v>
      </c>
      <c r="B13" s="545"/>
      <c r="C13" s="562"/>
      <c r="D13" s="549"/>
      <c r="E13" s="548">
        <f t="shared" si="2"/>
        <v>0</v>
      </c>
      <c r="F13" s="563"/>
      <c r="G13" s="549"/>
      <c r="H13" s="548">
        <f t="shared" si="3"/>
        <v>0</v>
      </c>
      <c r="I13" s="551"/>
      <c r="J13" s="564"/>
      <c r="K13" s="548">
        <f t="shared" si="4"/>
        <v>0</v>
      </c>
      <c r="L13" s="553"/>
      <c r="M13" s="553">
        <v>0.0</v>
      </c>
      <c r="N13" s="565">
        <f t="shared" si="7"/>
        <v>0</v>
      </c>
      <c r="O13" s="556"/>
      <c r="P13" s="544">
        <v>6.0</v>
      </c>
      <c r="Q13" s="557" t="s">
        <v>22</v>
      </c>
      <c r="R13" s="551" t="str">
        <f t="shared" si="8"/>
        <v>#REF!</v>
      </c>
      <c r="S13" s="551" t="str">
        <f t="shared" si="9"/>
        <v>#REF!</v>
      </c>
      <c r="T13" s="559" t="str">
        <f t="shared" si="5"/>
        <v>#REF!</v>
      </c>
      <c r="U13" s="560" t="str">
        <f t="shared" si="6"/>
        <v>#REF!</v>
      </c>
      <c r="V13" s="529"/>
      <c r="W13" s="529"/>
      <c r="X13" s="529"/>
      <c r="Y13" s="529"/>
      <c r="Z13" s="529"/>
    </row>
    <row r="14" ht="20.25" customHeight="1">
      <c r="A14" s="544">
        <v>7.0</v>
      </c>
      <c r="B14" s="545"/>
      <c r="C14" s="562"/>
      <c r="D14" s="549"/>
      <c r="E14" s="548">
        <f t="shared" si="2"/>
        <v>0</v>
      </c>
      <c r="F14" s="563"/>
      <c r="G14" s="549"/>
      <c r="H14" s="548">
        <f t="shared" si="3"/>
        <v>0</v>
      </c>
      <c r="I14" s="551"/>
      <c r="J14" s="564"/>
      <c r="K14" s="548">
        <f t="shared" si="4"/>
        <v>0</v>
      </c>
      <c r="L14" s="553"/>
      <c r="M14" s="553">
        <v>0.0</v>
      </c>
      <c r="N14" s="565">
        <f t="shared" si="7"/>
        <v>0</v>
      </c>
      <c r="O14" s="556"/>
      <c r="P14" s="544">
        <v>7.0</v>
      </c>
      <c r="Q14" s="557" t="s">
        <v>23</v>
      </c>
      <c r="R14" s="551" t="str">
        <f t="shared" si="8"/>
        <v>#REF!</v>
      </c>
      <c r="S14" s="551" t="str">
        <f t="shared" si="9"/>
        <v>#REF!</v>
      </c>
      <c r="T14" s="559" t="str">
        <f t="shared" si="5"/>
        <v>#REF!</v>
      </c>
      <c r="U14" s="560" t="str">
        <f t="shared" si="6"/>
        <v>#REF!</v>
      </c>
      <c r="V14" s="529"/>
      <c r="W14" s="529"/>
      <c r="X14" s="529"/>
      <c r="Y14" s="529"/>
      <c r="Z14" s="529"/>
    </row>
    <row r="15" ht="20.25" customHeight="1">
      <c r="A15" s="544">
        <v>8.0</v>
      </c>
      <c r="B15" s="545"/>
      <c r="C15" s="562"/>
      <c r="D15" s="549"/>
      <c r="E15" s="548">
        <f t="shared" si="2"/>
        <v>0</v>
      </c>
      <c r="F15" s="563"/>
      <c r="G15" s="549"/>
      <c r="H15" s="548">
        <f t="shared" si="3"/>
        <v>0</v>
      </c>
      <c r="I15" s="551"/>
      <c r="J15" s="564"/>
      <c r="K15" s="548">
        <f t="shared" si="4"/>
        <v>0</v>
      </c>
      <c r="L15" s="553"/>
      <c r="M15" s="553">
        <v>0.0</v>
      </c>
      <c r="N15" s="565">
        <f t="shared" si="7"/>
        <v>0</v>
      </c>
      <c r="O15" s="556"/>
      <c r="P15" s="544">
        <v>8.0</v>
      </c>
      <c r="Q15" s="557" t="s">
        <v>24</v>
      </c>
      <c r="R15" s="551" t="str">
        <f t="shared" si="8"/>
        <v>#REF!</v>
      </c>
      <c r="S15" s="551" t="str">
        <f t="shared" si="9"/>
        <v>#REF!</v>
      </c>
      <c r="T15" s="559" t="str">
        <f t="shared" si="5"/>
        <v>#REF!</v>
      </c>
      <c r="U15" s="560" t="str">
        <f t="shared" si="6"/>
        <v>#REF!</v>
      </c>
      <c r="V15" s="529"/>
      <c r="W15" s="529"/>
      <c r="X15" s="529"/>
      <c r="Y15" s="529"/>
      <c r="Z15" s="529"/>
    </row>
    <row r="16" ht="20.25" customHeight="1">
      <c r="A16" s="544">
        <v>9.0</v>
      </c>
      <c r="B16" s="545"/>
      <c r="C16" s="562"/>
      <c r="D16" s="549"/>
      <c r="E16" s="548">
        <f t="shared" si="2"/>
        <v>0</v>
      </c>
      <c r="F16" s="563"/>
      <c r="G16" s="549"/>
      <c r="H16" s="548">
        <f t="shared" si="3"/>
        <v>0</v>
      </c>
      <c r="I16" s="551"/>
      <c r="J16" s="564"/>
      <c r="K16" s="548">
        <f t="shared" si="4"/>
        <v>0</v>
      </c>
      <c r="L16" s="553"/>
      <c r="M16" s="553">
        <v>0.0</v>
      </c>
      <c r="N16" s="565">
        <f t="shared" si="7"/>
        <v>0</v>
      </c>
      <c r="O16" s="556"/>
      <c r="P16" s="544">
        <v>9.0</v>
      </c>
      <c r="Q16" s="557" t="s">
        <v>25</v>
      </c>
      <c r="R16" s="551" t="str">
        <f t="shared" si="8"/>
        <v>#REF!</v>
      </c>
      <c r="S16" s="551" t="str">
        <f t="shared" si="9"/>
        <v>#REF!</v>
      </c>
      <c r="T16" s="559" t="str">
        <f t="shared" si="5"/>
        <v>#REF!</v>
      </c>
      <c r="U16" s="560" t="str">
        <f t="shared" si="6"/>
        <v>#REF!</v>
      </c>
      <c r="V16" s="529"/>
      <c r="W16" s="529"/>
      <c r="X16" s="529"/>
      <c r="Y16" s="529"/>
      <c r="Z16" s="529"/>
    </row>
    <row r="17" ht="20.25" customHeight="1">
      <c r="A17" s="544">
        <v>10.0</v>
      </c>
      <c r="B17" s="545"/>
      <c r="C17" s="562"/>
      <c r="D17" s="549"/>
      <c r="E17" s="548">
        <f t="shared" si="2"/>
        <v>0</v>
      </c>
      <c r="F17" s="563"/>
      <c r="G17" s="549"/>
      <c r="H17" s="548">
        <f t="shared" si="3"/>
        <v>0</v>
      </c>
      <c r="I17" s="551"/>
      <c r="J17" s="564"/>
      <c r="K17" s="548">
        <f t="shared" si="4"/>
        <v>0</v>
      </c>
      <c r="L17" s="553"/>
      <c r="M17" s="553">
        <v>0.0</v>
      </c>
      <c r="N17" s="565">
        <f t="shared" si="7"/>
        <v>0</v>
      </c>
      <c r="O17" s="556"/>
      <c r="P17" s="544">
        <v>10.0</v>
      </c>
      <c r="Q17" s="557" t="s">
        <v>26</v>
      </c>
      <c r="R17" s="551" t="str">
        <f t="shared" si="8"/>
        <v>#REF!</v>
      </c>
      <c r="S17" s="551" t="str">
        <f t="shared" si="9"/>
        <v>#REF!</v>
      </c>
      <c r="T17" s="559" t="str">
        <f t="shared" si="5"/>
        <v>#REF!</v>
      </c>
      <c r="U17" s="560" t="str">
        <f t="shared" si="6"/>
        <v>#REF!</v>
      </c>
      <c r="V17" s="529"/>
      <c r="W17" s="529"/>
      <c r="X17" s="529"/>
      <c r="Y17" s="529"/>
      <c r="Z17" s="529"/>
    </row>
    <row r="18" ht="20.25" customHeight="1">
      <c r="A18" s="544">
        <v>11.0</v>
      </c>
      <c r="B18" s="545"/>
      <c r="C18" s="562"/>
      <c r="D18" s="549"/>
      <c r="E18" s="548">
        <f t="shared" si="2"/>
        <v>0</v>
      </c>
      <c r="F18" s="563"/>
      <c r="G18" s="549"/>
      <c r="H18" s="548">
        <f t="shared" si="3"/>
        <v>0</v>
      </c>
      <c r="I18" s="551"/>
      <c r="J18" s="567"/>
      <c r="K18" s="548">
        <f t="shared" si="4"/>
        <v>0</v>
      </c>
      <c r="L18" s="553"/>
      <c r="M18" s="553">
        <v>0.0</v>
      </c>
      <c r="N18" s="565">
        <f t="shared" si="7"/>
        <v>0</v>
      </c>
      <c r="O18" s="556"/>
      <c r="P18" s="544">
        <v>11.0</v>
      </c>
      <c r="Q18" s="557" t="s">
        <v>27</v>
      </c>
      <c r="R18" s="551" t="str">
        <f t="shared" si="8"/>
        <v>#REF!</v>
      </c>
      <c r="S18" s="551" t="str">
        <f t="shared" si="9"/>
        <v>#REF!</v>
      </c>
      <c r="T18" s="559" t="str">
        <f t="shared" si="5"/>
        <v>#REF!</v>
      </c>
      <c r="U18" s="560" t="str">
        <f t="shared" si="6"/>
        <v>#REF!</v>
      </c>
      <c r="V18" s="529"/>
      <c r="W18" s="529"/>
      <c r="X18" s="529"/>
      <c r="Y18" s="529"/>
      <c r="Z18" s="529"/>
    </row>
    <row r="19" ht="20.25" customHeight="1">
      <c r="A19" s="544">
        <v>12.0</v>
      </c>
      <c r="B19" s="545"/>
      <c r="C19" s="562"/>
      <c r="D19" s="549"/>
      <c r="E19" s="548">
        <f t="shared" si="2"/>
        <v>0</v>
      </c>
      <c r="F19" s="563"/>
      <c r="G19" s="549"/>
      <c r="H19" s="548">
        <f t="shared" si="3"/>
        <v>0</v>
      </c>
      <c r="I19" s="551"/>
      <c r="J19" s="564"/>
      <c r="K19" s="548">
        <f t="shared" si="4"/>
        <v>0</v>
      </c>
      <c r="L19" s="553"/>
      <c r="M19" s="553">
        <v>0.0</v>
      </c>
      <c r="N19" s="565">
        <f t="shared" si="7"/>
        <v>0</v>
      </c>
      <c r="O19" s="556"/>
      <c r="P19" s="544">
        <v>12.0</v>
      </c>
      <c r="Q19" s="557" t="s">
        <v>28</v>
      </c>
      <c r="R19" s="551" t="str">
        <f t="shared" si="8"/>
        <v>#REF!</v>
      </c>
      <c r="S19" s="551" t="str">
        <f t="shared" si="9"/>
        <v>#REF!</v>
      </c>
      <c r="T19" s="559" t="str">
        <f t="shared" si="5"/>
        <v>#REF!</v>
      </c>
      <c r="U19" s="560" t="str">
        <f t="shared" si="6"/>
        <v>#REF!</v>
      </c>
      <c r="V19" s="529"/>
      <c r="W19" s="529"/>
      <c r="X19" s="529"/>
      <c r="Y19" s="529"/>
      <c r="Z19" s="529"/>
    </row>
    <row r="20" ht="20.25" customHeight="1">
      <c r="A20" s="544">
        <v>13.0</v>
      </c>
      <c r="B20" s="545"/>
      <c r="C20" s="562"/>
      <c r="D20" s="549"/>
      <c r="E20" s="548">
        <f t="shared" si="2"/>
        <v>0</v>
      </c>
      <c r="F20" s="563"/>
      <c r="G20" s="549"/>
      <c r="H20" s="548">
        <f t="shared" si="3"/>
        <v>0</v>
      </c>
      <c r="I20" s="551"/>
      <c r="J20" s="564"/>
      <c r="K20" s="548">
        <f t="shared" si="4"/>
        <v>0</v>
      </c>
      <c r="L20" s="553"/>
      <c r="M20" s="553">
        <v>0.0</v>
      </c>
      <c r="N20" s="565">
        <f t="shared" si="7"/>
        <v>0</v>
      </c>
      <c r="O20" s="556"/>
      <c r="P20" s="544">
        <v>13.0</v>
      </c>
      <c r="Q20" s="557" t="s">
        <v>29</v>
      </c>
      <c r="R20" s="551" t="str">
        <f t="shared" si="8"/>
        <v>#REF!</v>
      </c>
      <c r="S20" s="551" t="str">
        <f t="shared" si="9"/>
        <v>#REF!</v>
      </c>
      <c r="T20" s="559" t="str">
        <f t="shared" si="5"/>
        <v>#REF!</v>
      </c>
      <c r="U20" s="560" t="str">
        <f t="shared" si="6"/>
        <v>#REF!</v>
      </c>
      <c r="V20" s="529"/>
      <c r="W20" s="529"/>
      <c r="X20" s="529"/>
      <c r="Y20" s="529"/>
      <c r="Z20" s="529"/>
    </row>
    <row r="21" ht="20.25" customHeight="1">
      <c r="A21" s="544">
        <v>14.0</v>
      </c>
      <c r="B21" s="545"/>
      <c r="C21" s="562"/>
      <c r="D21" s="549"/>
      <c r="E21" s="548">
        <f t="shared" si="2"/>
        <v>0</v>
      </c>
      <c r="F21" s="563"/>
      <c r="G21" s="549"/>
      <c r="H21" s="548">
        <f t="shared" si="3"/>
        <v>0</v>
      </c>
      <c r="I21" s="551"/>
      <c r="J21" s="564"/>
      <c r="K21" s="548">
        <f t="shared" si="4"/>
        <v>0</v>
      </c>
      <c r="L21" s="553"/>
      <c r="M21" s="553">
        <v>0.0</v>
      </c>
      <c r="N21" s="565">
        <f t="shared" si="7"/>
        <v>0</v>
      </c>
      <c r="O21" s="556"/>
      <c r="P21" s="544">
        <v>14.0</v>
      </c>
      <c r="Q21" s="557" t="s">
        <v>30</v>
      </c>
      <c r="R21" s="551" t="str">
        <f t="shared" si="8"/>
        <v>#REF!</v>
      </c>
      <c r="S21" s="551" t="str">
        <f t="shared" si="9"/>
        <v>#REF!</v>
      </c>
      <c r="T21" s="559" t="str">
        <f t="shared" si="5"/>
        <v>#REF!</v>
      </c>
      <c r="U21" s="560" t="str">
        <f t="shared" si="6"/>
        <v>#REF!</v>
      </c>
      <c r="V21" s="529"/>
      <c r="W21" s="529"/>
      <c r="X21" s="529"/>
      <c r="Y21" s="529"/>
      <c r="Z21" s="529"/>
    </row>
    <row r="22" ht="20.25" customHeight="1">
      <c r="A22" s="544">
        <v>15.0</v>
      </c>
      <c r="B22" s="545"/>
      <c r="C22" s="562"/>
      <c r="D22" s="549"/>
      <c r="E22" s="548">
        <f t="shared" si="2"/>
        <v>0</v>
      </c>
      <c r="F22" s="563"/>
      <c r="G22" s="549"/>
      <c r="H22" s="548">
        <f t="shared" si="3"/>
        <v>0</v>
      </c>
      <c r="I22" s="551"/>
      <c r="J22" s="564"/>
      <c r="K22" s="548">
        <f t="shared" si="4"/>
        <v>0</v>
      </c>
      <c r="L22" s="553"/>
      <c r="M22" s="553">
        <v>0.0</v>
      </c>
      <c r="N22" s="565">
        <f t="shared" si="7"/>
        <v>0</v>
      </c>
      <c r="O22" s="556"/>
      <c r="P22" s="544">
        <v>15.0</v>
      </c>
      <c r="Q22" s="557" t="s">
        <v>31</v>
      </c>
      <c r="R22" s="551" t="str">
        <f t="shared" si="8"/>
        <v>#REF!</v>
      </c>
      <c r="S22" s="551" t="str">
        <f t="shared" si="9"/>
        <v>#REF!</v>
      </c>
      <c r="T22" s="559" t="str">
        <f t="shared" si="5"/>
        <v>#REF!</v>
      </c>
      <c r="U22" s="560" t="str">
        <f t="shared" si="6"/>
        <v>#REF!</v>
      </c>
      <c r="V22" s="529"/>
      <c r="W22" s="529"/>
      <c r="X22" s="529"/>
      <c r="Y22" s="529"/>
      <c r="Z22" s="529"/>
    </row>
    <row r="23" ht="20.25" customHeight="1">
      <c r="A23" s="544">
        <v>16.0</v>
      </c>
      <c r="B23" s="545"/>
      <c r="C23" s="562"/>
      <c r="D23" s="549"/>
      <c r="E23" s="548">
        <f t="shared" si="2"/>
        <v>0</v>
      </c>
      <c r="F23" s="563"/>
      <c r="G23" s="549"/>
      <c r="H23" s="548">
        <f t="shared" si="3"/>
        <v>0</v>
      </c>
      <c r="I23" s="551"/>
      <c r="J23" s="564"/>
      <c r="K23" s="548">
        <f t="shared" si="4"/>
        <v>0</v>
      </c>
      <c r="L23" s="553"/>
      <c r="M23" s="553">
        <v>0.0</v>
      </c>
      <c r="N23" s="565">
        <f t="shared" si="7"/>
        <v>0</v>
      </c>
      <c r="O23" s="556"/>
      <c r="P23" s="544">
        <v>16.0</v>
      </c>
      <c r="Q23" s="557" t="s">
        <v>32</v>
      </c>
      <c r="R23" s="551" t="str">
        <f t="shared" si="8"/>
        <v>#REF!</v>
      </c>
      <c r="S23" s="551" t="str">
        <f t="shared" si="9"/>
        <v>#REF!</v>
      </c>
      <c r="T23" s="559" t="str">
        <f t="shared" si="5"/>
        <v>#REF!</v>
      </c>
      <c r="U23" s="560" t="str">
        <f t="shared" si="6"/>
        <v>#REF!</v>
      </c>
      <c r="V23" s="529"/>
      <c r="W23" s="529"/>
      <c r="X23" s="529"/>
      <c r="Y23" s="529"/>
      <c r="Z23" s="529"/>
    </row>
    <row r="24" ht="20.25" customHeight="1">
      <c r="A24" s="544">
        <v>17.0</v>
      </c>
      <c r="B24" s="545"/>
      <c r="C24" s="562"/>
      <c r="D24" s="549"/>
      <c r="E24" s="548">
        <f t="shared" si="2"/>
        <v>0</v>
      </c>
      <c r="F24" s="563"/>
      <c r="G24" s="549"/>
      <c r="H24" s="548">
        <f t="shared" si="3"/>
        <v>0</v>
      </c>
      <c r="I24" s="551"/>
      <c r="J24" s="564"/>
      <c r="K24" s="548">
        <f t="shared" si="4"/>
        <v>0</v>
      </c>
      <c r="L24" s="553"/>
      <c r="M24" s="553">
        <v>0.0</v>
      </c>
      <c r="N24" s="565">
        <f t="shared" si="7"/>
        <v>0</v>
      </c>
      <c r="O24" s="556"/>
      <c r="P24" s="544">
        <v>17.0</v>
      </c>
      <c r="Q24" s="557" t="s">
        <v>33</v>
      </c>
      <c r="R24" s="551" t="str">
        <f t="shared" si="8"/>
        <v>#REF!</v>
      </c>
      <c r="S24" s="551" t="str">
        <f t="shared" si="9"/>
        <v>#REF!</v>
      </c>
      <c r="T24" s="559" t="str">
        <f t="shared" si="5"/>
        <v>#REF!</v>
      </c>
      <c r="U24" s="560" t="str">
        <f t="shared" si="6"/>
        <v>#REF!</v>
      </c>
      <c r="V24" s="529"/>
      <c r="W24" s="529"/>
      <c r="X24" s="529"/>
      <c r="Y24" s="529"/>
      <c r="Z24" s="529"/>
    </row>
    <row r="25" ht="20.25" customHeight="1">
      <c r="A25" s="544">
        <v>18.0</v>
      </c>
      <c r="B25" s="545"/>
      <c r="C25" s="562"/>
      <c r="D25" s="549"/>
      <c r="E25" s="548">
        <f t="shared" si="2"/>
        <v>0</v>
      </c>
      <c r="F25" s="563"/>
      <c r="G25" s="549"/>
      <c r="H25" s="548">
        <f t="shared" si="3"/>
        <v>0</v>
      </c>
      <c r="I25" s="551"/>
      <c r="J25" s="564"/>
      <c r="K25" s="548">
        <f t="shared" si="4"/>
        <v>0</v>
      </c>
      <c r="L25" s="553"/>
      <c r="M25" s="553">
        <v>0.0</v>
      </c>
      <c r="N25" s="565">
        <f t="shared" si="7"/>
        <v>0</v>
      </c>
      <c r="O25" s="556"/>
      <c r="P25" s="544">
        <v>18.0</v>
      </c>
      <c r="Q25" s="557" t="s">
        <v>34</v>
      </c>
      <c r="R25" s="551" t="str">
        <f t="shared" si="8"/>
        <v>#REF!</v>
      </c>
      <c r="S25" s="551" t="str">
        <f t="shared" si="9"/>
        <v>#REF!</v>
      </c>
      <c r="T25" s="559" t="str">
        <f t="shared" si="5"/>
        <v>#REF!</v>
      </c>
      <c r="U25" s="560" t="str">
        <f t="shared" si="6"/>
        <v>#REF!</v>
      </c>
      <c r="V25" s="529"/>
      <c r="W25" s="529"/>
      <c r="X25" s="529"/>
      <c r="Y25" s="529"/>
      <c r="Z25" s="529"/>
    </row>
    <row r="26" ht="20.25" customHeight="1">
      <c r="A26" s="544">
        <v>19.0</v>
      </c>
      <c r="B26" s="568"/>
      <c r="C26" s="562"/>
      <c r="D26" s="549"/>
      <c r="E26" s="548">
        <f t="shared" si="2"/>
        <v>0</v>
      </c>
      <c r="F26" s="563"/>
      <c r="G26" s="549"/>
      <c r="H26" s="548">
        <f t="shared" si="3"/>
        <v>0</v>
      </c>
      <c r="I26" s="551"/>
      <c r="J26" s="564"/>
      <c r="K26" s="548">
        <f t="shared" si="4"/>
        <v>0</v>
      </c>
      <c r="L26" s="553"/>
      <c r="M26" s="553">
        <v>0.0</v>
      </c>
      <c r="N26" s="565">
        <f t="shared" si="7"/>
        <v>0</v>
      </c>
      <c r="O26" s="556"/>
      <c r="P26" s="544">
        <v>19.0</v>
      </c>
      <c r="Q26" s="569" t="s">
        <v>35</v>
      </c>
      <c r="R26" s="551" t="str">
        <f t="shared" si="8"/>
        <v>#REF!</v>
      </c>
      <c r="S26" s="551" t="str">
        <f t="shared" si="9"/>
        <v>#REF!</v>
      </c>
      <c r="T26" s="559" t="str">
        <f t="shared" si="5"/>
        <v>#REF!</v>
      </c>
      <c r="U26" s="560" t="str">
        <f t="shared" si="6"/>
        <v>#REF!</v>
      </c>
      <c r="V26" s="529"/>
      <c r="W26" s="529"/>
      <c r="X26" s="529"/>
      <c r="Y26" s="529"/>
      <c r="Z26" s="529"/>
    </row>
    <row r="27" ht="20.25" customHeight="1">
      <c r="A27" s="538" t="s">
        <v>36</v>
      </c>
      <c r="B27" s="21"/>
      <c r="C27" s="570"/>
      <c r="D27" s="570"/>
      <c r="E27" s="571">
        <f t="shared" ref="E27:N27" si="10">SUM(E8:E26)</f>
        <v>0</v>
      </c>
      <c r="F27" s="570">
        <f t="shared" si="10"/>
        <v>0</v>
      </c>
      <c r="G27" s="570">
        <f t="shared" si="10"/>
        <v>0</v>
      </c>
      <c r="H27" s="571">
        <f t="shared" si="10"/>
        <v>0</v>
      </c>
      <c r="I27" s="572">
        <f t="shared" si="10"/>
        <v>0</v>
      </c>
      <c r="J27" s="573">
        <f t="shared" si="10"/>
        <v>0</v>
      </c>
      <c r="K27" s="571">
        <f t="shared" si="10"/>
        <v>0</v>
      </c>
      <c r="L27" s="572">
        <f t="shared" si="10"/>
        <v>0</v>
      </c>
      <c r="M27" s="572">
        <f t="shared" si="10"/>
        <v>0</v>
      </c>
      <c r="N27" s="574">
        <f t="shared" si="10"/>
        <v>0</v>
      </c>
      <c r="O27" s="529"/>
      <c r="P27" s="538" t="s">
        <v>36</v>
      </c>
      <c r="Q27" s="21"/>
      <c r="R27" s="575" t="str">
        <f t="shared" ref="R27:S27" si="11">SUM(R8:R26)</f>
        <v>#REF!</v>
      </c>
      <c r="S27" s="558" t="str">
        <f t="shared" si="11"/>
        <v>#REF!</v>
      </c>
      <c r="T27" s="559" t="str">
        <f t="shared" si="5"/>
        <v>#REF!</v>
      </c>
      <c r="U27" s="560" t="str">
        <f t="shared" si="6"/>
        <v>#REF!</v>
      </c>
      <c r="V27" s="529"/>
      <c r="W27" s="529"/>
      <c r="X27" s="529"/>
      <c r="Y27" s="529"/>
      <c r="Z27" s="529"/>
    </row>
    <row r="28" ht="20.25" customHeight="1">
      <c r="A28" s="529"/>
      <c r="B28" s="529"/>
      <c r="C28" s="529"/>
      <c r="D28" s="529"/>
      <c r="E28" s="576"/>
      <c r="F28" s="529"/>
      <c r="G28" s="529"/>
      <c r="H28" s="576"/>
      <c r="I28" s="529"/>
      <c r="J28" s="529"/>
      <c r="K28" s="576"/>
      <c r="L28" s="529"/>
      <c r="M28" s="529"/>
      <c r="N28" s="576"/>
      <c r="O28" s="529"/>
      <c r="P28" s="529"/>
      <c r="Q28" s="529"/>
      <c r="R28" s="529"/>
      <c r="S28" s="529"/>
      <c r="T28" s="529"/>
      <c r="U28" s="529"/>
      <c r="V28" s="529"/>
      <c r="W28" s="529"/>
      <c r="X28" s="529"/>
      <c r="Y28" s="529"/>
      <c r="Z28" s="529"/>
    </row>
    <row r="29" ht="20.25" customHeight="1">
      <c r="A29" s="529"/>
      <c r="B29" s="529"/>
      <c r="C29" s="529"/>
      <c r="D29" s="529"/>
      <c r="E29" s="576"/>
      <c r="F29" s="529"/>
      <c r="G29" s="529"/>
      <c r="H29" s="576"/>
      <c r="I29" s="529"/>
      <c r="J29" s="529"/>
      <c r="K29" s="576"/>
      <c r="L29" s="529"/>
      <c r="M29" s="529"/>
      <c r="N29" s="576"/>
      <c r="O29" s="529"/>
      <c r="P29" s="529"/>
      <c r="Q29" s="529"/>
      <c r="R29" s="529"/>
      <c r="S29" s="529"/>
      <c r="T29" s="529"/>
      <c r="U29" s="529"/>
      <c r="V29" s="529"/>
      <c r="W29" s="529"/>
      <c r="X29" s="529"/>
      <c r="Y29" s="529"/>
      <c r="Z29" s="529"/>
    </row>
    <row r="30" ht="20.25" customHeight="1">
      <c r="A30" s="529"/>
      <c r="B30" s="529"/>
      <c r="C30" s="529"/>
      <c r="D30" s="529"/>
      <c r="E30" s="576"/>
      <c r="F30" s="529"/>
      <c r="G30" s="529"/>
      <c r="H30" s="576"/>
      <c r="I30" s="529"/>
      <c r="J30" s="529"/>
      <c r="K30" s="576"/>
      <c r="L30" s="529"/>
      <c r="M30" s="529"/>
      <c r="N30" s="576"/>
      <c r="O30" s="529"/>
      <c r="P30" s="529"/>
      <c r="Q30" s="529"/>
      <c r="R30" s="529"/>
      <c r="S30" s="529"/>
      <c r="T30" s="529"/>
      <c r="U30" s="529"/>
      <c r="V30" s="529"/>
      <c r="W30" s="529"/>
      <c r="X30" s="529"/>
      <c r="Y30" s="529"/>
      <c r="Z30" s="529"/>
    </row>
    <row r="31" ht="20.25" customHeight="1">
      <c r="A31" s="529"/>
      <c r="B31" s="529"/>
      <c r="C31" s="529"/>
      <c r="D31" s="529"/>
      <c r="E31" s="576"/>
      <c r="F31" s="529"/>
      <c r="G31" s="529"/>
      <c r="H31" s="576"/>
      <c r="I31" s="529"/>
      <c r="J31" s="529"/>
      <c r="K31" s="576"/>
      <c r="L31" s="529"/>
      <c r="M31" s="529"/>
      <c r="N31" s="576"/>
      <c r="O31" s="529"/>
      <c r="P31" s="529"/>
      <c r="Q31" s="529"/>
      <c r="R31" s="529"/>
      <c r="S31" s="529"/>
      <c r="T31" s="529"/>
      <c r="U31" s="529"/>
      <c r="V31" s="529"/>
      <c r="W31" s="529"/>
      <c r="X31" s="529"/>
      <c r="Y31" s="529"/>
      <c r="Z31" s="529"/>
    </row>
    <row r="32" ht="20.25" customHeight="1">
      <c r="A32" s="529"/>
      <c r="B32" s="529"/>
      <c r="C32" s="529"/>
      <c r="D32" s="529"/>
      <c r="E32" s="576"/>
      <c r="F32" s="529"/>
      <c r="G32" s="529"/>
      <c r="H32" s="576"/>
      <c r="I32" s="529"/>
      <c r="J32" s="529"/>
      <c r="K32" s="576"/>
      <c r="L32" s="529"/>
      <c r="M32" s="529"/>
      <c r="N32" s="576"/>
      <c r="O32" s="529"/>
      <c r="P32" s="529"/>
      <c r="Q32" s="529"/>
      <c r="R32" s="529"/>
      <c r="S32" s="529"/>
      <c r="T32" s="529"/>
      <c r="U32" s="529"/>
      <c r="V32" s="529"/>
      <c r="W32" s="529"/>
      <c r="X32" s="529"/>
      <c r="Y32" s="529"/>
      <c r="Z32" s="529"/>
    </row>
    <row r="33" ht="20.25" customHeight="1">
      <c r="A33" s="529"/>
      <c r="B33" s="529"/>
      <c r="C33" s="529"/>
      <c r="D33" s="529"/>
      <c r="E33" s="576"/>
      <c r="F33" s="529"/>
      <c r="G33" s="529"/>
      <c r="H33" s="576"/>
      <c r="I33" s="529"/>
      <c r="J33" s="529"/>
      <c r="K33" s="576"/>
      <c r="L33" s="529"/>
      <c r="M33" s="529"/>
      <c r="N33" s="576"/>
      <c r="O33" s="529"/>
      <c r="P33" s="529"/>
      <c r="Q33" s="529"/>
      <c r="R33" s="529"/>
      <c r="S33" s="529"/>
      <c r="T33" s="529"/>
      <c r="U33" s="529"/>
      <c r="V33" s="529"/>
      <c r="W33" s="529"/>
      <c r="X33" s="529"/>
      <c r="Y33" s="529"/>
      <c r="Z33" s="529"/>
    </row>
    <row r="34" ht="20.25" customHeight="1">
      <c r="A34" s="132" t="s">
        <v>328</v>
      </c>
      <c r="O34" s="529"/>
      <c r="P34" s="529"/>
      <c r="Q34" s="529"/>
      <c r="R34" s="529"/>
      <c r="S34" s="529"/>
      <c r="T34" s="529"/>
      <c r="U34" s="529"/>
      <c r="V34" s="529"/>
      <c r="W34" s="529"/>
      <c r="X34" s="529"/>
      <c r="Y34" s="529"/>
      <c r="Z34" s="529"/>
    </row>
    <row r="35" ht="20.25" customHeight="1">
      <c r="A35" s="531" t="s">
        <v>329</v>
      </c>
      <c r="O35" s="529"/>
      <c r="P35" s="529"/>
      <c r="Q35" s="529"/>
      <c r="R35" s="529"/>
      <c r="S35" s="529"/>
      <c r="T35" s="529"/>
      <c r="U35" s="529"/>
      <c r="V35" s="529"/>
      <c r="W35" s="529"/>
      <c r="X35" s="529"/>
      <c r="Y35" s="529"/>
      <c r="Z35" s="529"/>
    </row>
    <row r="36" ht="20.25" customHeight="1">
      <c r="A36" s="532" t="s">
        <v>4</v>
      </c>
      <c r="B36" s="532" t="s">
        <v>5</v>
      </c>
      <c r="C36" s="535"/>
      <c r="D36" s="7"/>
      <c r="E36" s="8"/>
      <c r="F36" s="535"/>
      <c r="G36" s="7"/>
      <c r="H36" s="8"/>
      <c r="I36" s="535"/>
      <c r="J36" s="7"/>
      <c r="K36" s="8"/>
      <c r="L36" s="577"/>
      <c r="M36" s="7"/>
      <c r="N36" s="8"/>
      <c r="O36" s="529"/>
      <c r="P36" s="529"/>
      <c r="Q36" s="529"/>
      <c r="R36" s="529"/>
      <c r="S36" s="529"/>
      <c r="T36" s="529"/>
      <c r="U36" s="529"/>
      <c r="V36" s="529"/>
      <c r="W36" s="529"/>
      <c r="X36" s="529"/>
      <c r="Y36" s="529"/>
      <c r="Z36" s="529"/>
    </row>
    <row r="37" ht="20.25" customHeight="1">
      <c r="A37" s="12"/>
      <c r="B37" s="12"/>
      <c r="C37" s="14"/>
      <c r="D37" s="15"/>
      <c r="E37" s="16"/>
      <c r="F37" s="14"/>
      <c r="G37" s="15"/>
      <c r="H37" s="16"/>
      <c r="I37" s="14"/>
      <c r="J37" s="15"/>
      <c r="K37" s="16"/>
      <c r="N37" s="13"/>
      <c r="O37" s="529"/>
      <c r="P37" s="529"/>
      <c r="Q37" s="529"/>
      <c r="R37" s="529"/>
      <c r="S37" s="529"/>
      <c r="T37" s="529"/>
      <c r="U37" s="529"/>
      <c r="V37" s="529"/>
      <c r="W37" s="529"/>
      <c r="X37" s="529"/>
      <c r="Y37" s="529"/>
      <c r="Z37" s="529"/>
    </row>
    <row r="38" ht="20.25" customHeight="1">
      <c r="A38" s="12"/>
      <c r="B38" s="12"/>
      <c r="C38" s="578" t="s">
        <v>12</v>
      </c>
      <c r="E38" s="13"/>
      <c r="F38" s="578" t="s">
        <v>12</v>
      </c>
      <c r="H38" s="13"/>
      <c r="I38" s="578" t="s">
        <v>12</v>
      </c>
      <c r="K38" s="13"/>
      <c r="L38" s="537" t="s">
        <v>12</v>
      </c>
      <c r="M38" s="7"/>
      <c r="N38" s="8"/>
      <c r="O38" s="529"/>
      <c r="P38" s="529"/>
      <c r="Q38" s="529"/>
      <c r="R38" s="529"/>
      <c r="S38" s="529"/>
      <c r="T38" s="529"/>
      <c r="U38" s="529"/>
      <c r="V38" s="529"/>
      <c r="W38" s="529"/>
      <c r="X38" s="529"/>
      <c r="Y38" s="529"/>
      <c r="Z38" s="529"/>
    </row>
    <row r="39" ht="20.25" customHeight="1">
      <c r="A39" s="22"/>
      <c r="B39" s="22"/>
      <c r="C39" s="539" t="s">
        <v>13</v>
      </c>
      <c r="D39" s="539" t="s">
        <v>14</v>
      </c>
      <c r="E39" s="540" t="s">
        <v>15</v>
      </c>
      <c r="F39" s="539" t="s">
        <v>13</v>
      </c>
      <c r="G39" s="539" t="s">
        <v>14</v>
      </c>
      <c r="H39" s="540" t="s">
        <v>15</v>
      </c>
      <c r="I39" s="539" t="s">
        <v>13</v>
      </c>
      <c r="J39" s="539" t="s">
        <v>14</v>
      </c>
      <c r="K39" s="540" t="s">
        <v>15</v>
      </c>
      <c r="L39" s="539" t="s">
        <v>13</v>
      </c>
      <c r="M39" s="539" t="s">
        <v>14</v>
      </c>
      <c r="N39" s="540" t="s">
        <v>15</v>
      </c>
      <c r="O39" s="529"/>
      <c r="P39" s="529"/>
      <c r="Q39" s="529"/>
      <c r="R39" s="529"/>
      <c r="S39" s="529"/>
      <c r="T39" s="529"/>
      <c r="U39" s="529"/>
      <c r="V39" s="529"/>
      <c r="W39" s="529"/>
      <c r="X39" s="529"/>
      <c r="Y39" s="529"/>
      <c r="Z39" s="529"/>
    </row>
    <row r="40" ht="20.25" customHeight="1">
      <c r="A40" s="538"/>
      <c r="B40" s="21"/>
      <c r="C40" s="542"/>
      <c r="D40" s="20"/>
      <c r="E40" s="21"/>
      <c r="F40" s="543"/>
      <c r="G40" s="20"/>
      <c r="H40" s="21"/>
      <c r="I40" s="543"/>
      <c r="J40" s="20"/>
      <c r="K40" s="20"/>
      <c r="L40" s="542"/>
      <c r="M40" s="20"/>
      <c r="N40" s="21"/>
      <c r="O40" s="529"/>
      <c r="P40" s="529"/>
      <c r="Q40" s="529"/>
      <c r="R40" s="529"/>
      <c r="S40" s="529"/>
      <c r="T40" s="529"/>
      <c r="U40" s="529"/>
      <c r="V40" s="529"/>
      <c r="W40" s="529"/>
      <c r="X40" s="529"/>
      <c r="Y40" s="529"/>
      <c r="Z40" s="529"/>
    </row>
    <row r="41" ht="20.25" customHeight="1">
      <c r="A41" s="544">
        <v>1.0</v>
      </c>
      <c r="B41" s="545" t="s">
        <v>17</v>
      </c>
      <c r="C41" s="549">
        <v>0.0</v>
      </c>
      <c r="D41" s="552">
        <v>0.0</v>
      </c>
      <c r="E41" s="548">
        <f t="shared" ref="E41:E59" si="12">SUM(C41-D41)</f>
        <v>0</v>
      </c>
      <c r="F41" s="579"/>
      <c r="G41" s="579"/>
      <c r="H41" s="580">
        <f t="shared" ref="H41:H59" si="13">SUM(F41-G41)</f>
        <v>0</v>
      </c>
      <c r="I41" s="581"/>
      <c r="J41" s="582"/>
      <c r="K41" s="583">
        <f>SUM(I41-J41)</f>
        <v>0</v>
      </c>
      <c r="L41" s="581"/>
      <c r="M41" s="581"/>
      <c r="N41" s="584">
        <f>SUM(L41-M41)</f>
        <v>0</v>
      </c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</row>
    <row r="42" ht="20.25" customHeight="1">
      <c r="A42" s="544">
        <v>2.0</v>
      </c>
      <c r="B42" s="561" t="s">
        <v>18</v>
      </c>
      <c r="C42" s="549"/>
      <c r="D42" s="552"/>
      <c r="E42" s="548">
        <f t="shared" si="12"/>
        <v>0</v>
      </c>
      <c r="F42" s="579">
        <v>0.0</v>
      </c>
      <c r="G42" s="579">
        <v>0.0</v>
      </c>
      <c r="H42" s="580">
        <f t="shared" si="13"/>
        <v>0</v>
      </c>
      <c r="I42" s="585"/>
      <c r="J42" s="586"/>
      <c r="K42" s="580"/>
      <c r="L42" s="587"/>
      <c r="M42" s="588"/>
      <c r="N42" s="580"/>
      <c r="O42" s="529"/>
      <c r="P42" s="529"/>
      <c r="Q42" s="529"/>
      <c r="R42" s="529"/>
      <c r="S42" s="529"/>
      <c r="T42" s="529"/>
      <c r="U42" s="529"/>
      <c r="V42" s="529"/>
      <c r="W42" s="529"/>
      <c r="X42" s="529"/>
      <c r="Y42" s="529"/>
      <c r="Z42" s="529"/>
    </row>
    <row r="43" ht="20.25" customHeight="1">
      <c r="A43" s="544">
        <v>3.0</v>
      </c>
      <c r="B43" s="545" t="s">
        <v>19</v>
      </c>
      <c r="C43" s="549"/>
      <c r="D43" s="552"/>
      <c r="E43" s="548">
        <f t="shared" si="12"/>
        <v>0</v>
      </c>
      <c r="F43" s="579">
        <v>0.0</v>
      </c>
      <c r="G43" s="579">
        <v>0.0</v>
      </c>
      <c r="H43" s="580">
        <f t="shared" si="13"/>
        <v>0</v>
      </c>
      <c r="I43" s="585"/>
      <c r="J43" s="586"/>
      <c r="K43" s="580"/>
      <c r="L43" s="587"/>
      <c r="M43" s="588"/>
      <c r="N43" s="580"/>
      <c r="O43" s="529"/>
      <c r="P43" s="529"/>
      <c r="Q43" s="529"/>
      <c r="R43" s="529"/>
      <c r="S43" s="529"/>
      <c r="T43" s="529"/>
      <c r="U43" s="529"/>
      <c r="V43" s="529"/>
      <c r="W43" s="529"/>
      <c r="X43" s="529"/>
      <c r="Y43" s="529"/>
      <c r="Z43" s="529"/>
    </row>
    <row r="44" ht="20.25" customHeight="1">
      <c r="A44" s="544">
        <v>4.0</v>
      </c>
      <c r="B44" s="545" t="s">
        <v>20</v>
      </c>
      <c r="C44" s="549"/>
      <c r="D44" s="552"/>
      <c r="E44" s="548">
        <f t="shared" si="12"/>
        <v>0</v>
      </c>
      <c r="F44" s="579">
        <v>0.0</v>
      </c>
      <c r="G44" s="579">
        <v>0.0</v>
      </c>
      <c r="H44" s="580">
        <f t="shared" si="13"/>
        <v>0</v>
      </c>
      <c r="I44" s="585"/>
      <c r="J44" s="586"/>
      <c r="K44" s="580"/>
      <c r="L44" s="587"/>
      <c r="M44" s="588"/>
      <c r="N44" s="580"/>
      <c r="O44" s="529"/>
      <c r="P44" s="529"/>
      <c r="Q44" s="529"/>
      <c r="R44" s="529"/>
      <c r="S44" s="529"/>
      <c r="T44" s="529"/>
      <c r="U44" s="529"/>
      <c r="V44" s="529"/>
      <c r="W44" s="529"/>
      <c r="X44" s="529"/>
      <c r="Y44" s="529"/>
      <c r="Z44" s="529"/>
    </row>
    <row r="45" ht="20.25" customHeight="1">
      <c r="A45" s="544">
        <v>5.0</v>
      </c>
      <c r="B45" s="545" t="s">
        <v>21</v>
      </c>
      <c r="C45" s="549"/>
      <c r="D45" s="552"/>
      <c r="E45" s="548">
        <f t="shared" si="12"/>
        <v>0</v>
      </c>
      <c r="F45" s="579">
        <v>0.0</v>
      </c>
      <c r="G45" s="579">
        <v>0.0</v>
      </c>
      <c r="H45" s="580">
        <f t="shared" si="13"/>
        <v>0</v>
      </c>
      <c r="I45" s="585"/>
      <c r="J45" s="586"/>
      <c r="K45" s="580"/>
      <c r="L45" s="587"/>
      <c r="M45" s="588"/>
      <c r="N45" s="580"/>
      <c r="O45" s="529"/>
      <c r="P45" s="529"/>
      <c r="Q45" s="529"/>
      <c r="R45" s="529"/>
      <c r="S45" s="529"/>
      <c r="T45" s="529"/>
      <c r="U45" s="529"/>
      <c r="V45" s="529"/>
      <c r="W45" s="529"/>
      <c r="X45" s="529"/>
      <c r="Y45" s="529"/>
      <c r="Z45" s="529"/>
    </row>
    <row r="46" ht="20.25" customHeight="1">
      <c r="A46" s="544">
        <v>6.0</v>
      </c>
      <c r="B46" s="545" t="s">
        <v>22</v>
      </c>
      <c r="C46" s="549"/>
      <c r="D46" s="552"/>
      <c r="E46" s="548">
        <f t="shared" si="12"/>
        <v>0</v>
      </c>
      <c r="F46" s="579">
        <v>0.0</v>
      </c>
      <c r="G46" s="579">
        <v>0.0</v>
      </c>
      <c r="H46" s="580">
        <f t="shared" si="13"/>
        <v>0</v>
      </c>
      <c r="I46" s="585"/>
      <c r="J46" s="586"/>
      <c r="K46" s="580"/>
      <c r="L46" s="587"/>
      <c r="M46" s="588"/>
      <c r="N46" s="580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</row>
    <row r="47" ht="20.25" customHeight="1">
      <c r="A47" s="544">
        <v>7.0</v>
      </c>
      <c r="B47" s="545" t="s">
        <v>23</v>
      </c>
      <c r="C47" s="549"/>
      <c r="D47" s="552"/>
      <c r="E47" s="548">
        <f t="shared" si="12"/>
        <v>0</v>
      </c>
      <c r="F47" s="579">
        <v>0.0</v>
      </c>
      <c r="G47" s="579">
        <v>0.0</v>
      </c>
      <c r="H47" s="580">
        <f t="shared" si="13"/>
        <v>0</v>
      </c>
      <c r="I47" s="585"/>
      <c r="J47" s="586"/>
      <c r="K47" s="580"/>
      <c r="L47" s="587"/>
      <c r="M47" s="588"/>
      <c r="N47" s="580"/>
      <c r="O47" s="529"/>
      <c r="P47" s="529"/>
      <c r="Q47" s="529"/>
      <c r="R47" s="529"/>
      <c r="S47" s="529"/>
      <c r="T47" s="529"/>
      <c r="U47" s="529"/>
      <c r="V47" s="529"/>
      <c r="W47" s="529"/>
      <c r="X47" s="529"/>
      <c r="Y47" s="529"/>
      <c r="Z47" s="529"/>
    </row>
    <row r="48" ht="20.25" customHeight="1">
      <c r="A48" s="544">
        <v>8.0</v>
      </c>
      <c r="B48" s="545" t="s">
        <v>24</v>
      </c>
      <c r="C48" s="549"/>
      <c r="D48" s="552"/>
      <c r="E48" s="548">
        <f t="shared" si="12"/>
        <v>0</v>
      </c>
      <c r="F48" s="579">
        <v>0.0</v>
      </c>
      <c r="G48" s="579">
        <v>0.0</v>
      </c>
      <c r="H48" s="580">
        <f t="shared" si="13"/>
        <v>0</v>
      </c>
      <c r="I48" s="585"/>
      <c r="J48" s="586"/>
      <c r="K48" s="580"/>
      <c r="L48" s="587"/>
      <c r="M48" s="588"/>
      <c r="N48" s="580"/>
      <c r="O48" s="529"/>
      <c r="P48" s="529"/>
      <c r="Q48" s="529"/>
      <c r="R48" s="529"/>
      <c r="S48" s="529"/>
      <c r="T48" s="529"/>
      <c r="U48" s="529"/>
      <c r="V48" s="529"/>
      <c r="W48" s="529"/>
      <c r="X48" s="529"/>
      <c r="Y48" s="529"/>
      <c r="Z48" s="529"/>
    </row>
    <row r="49" ht="20.25" customHeight="1">
      <c r="A49" s="544">
        <v>9.0</v>
      </c>
      <c r="B49" s="545" t="s">
        <v>25</v>
      </c>
      <c r="C49" s="549"/>
      <c r="D49" s="552"/>
      <c r="E49" s="548">
        <f t="shared" si="12"/>
        <v>0</v>
      </c>
      <c r="F49" s="579">
        <v>0.0</v>
      </c>
      <c r="G49" s="579">
        <v>0.0</v>
      </c>
      <c r="H49" s="580">
        <f t="shared" si="13"/>
        <v>0</v>
      </c>
      <c r="I49" s="585"/>
      <c r="J49" s="586"/>
      <c r="K49" s="580"/>
      <c r="L49" s="587"/>
      <c r="M49" s="588"/>
      <c r="N49" s="580"/>
      <c r="O49" s="529"/>
      <c r="P49" s="529"/>
      <c r="Q49" s="529"/>
      <c r="R49" s="529"/>
      <c r="S49" s="529"/>
      <c r="T49" s="529"/>
      <c r="U49" s="529"/>
      <c r="V49" s="529"/>
      <c r="W49" s="529"/>
      <c r="X49" s="529"/>
      <c r="Y49" s="529"/>
      <c r="Z49" s="529"/>
    </row>
    <row r="50" ht="20.25" customHeight="1">
      <c r="A50" s="544">
        <v>10.0</v>
      </c>
      <c r="B50" s="545" t="s">
        <v>26</v>
      </c>
      <c r="C50" s="549"/>
      <c r="D50" s="552"/>
      <c r="E50" s="548">
        <f t="shared" si="12"/>
        <v>0</v>
      </c>
      <c r="F50" s="579">
        <v>0.0</v>
      </c>
      <c r="G50" s="579">
        <v>0.0</v>
      </c>
      <c r="H50" s="580">
        <f t="shared" si="13"/>
        <v>0</v>
      </c>
      <c r="I50" s="585"/>
      <c r="J50" s="586"/>
      <c r="K50" s="580"/>
      <c r="L50" s="587"/>
      <c r="M50" s="588"/>
      <c r="N50" s="580"/>
      <c r="O50" s="529"/>
      <c r="P50" s="529"/>
      <c r="Q50" s="529"/>
      <c r="R50" s="529"/>
      <c r="S50" s="529"/>
      <c r="T50" s="529"/>
      <c r="U50" s="529"/>
      <c r="V50" s="529"/>
      <c r="W50" s="529"/>
      <c r="X50" s="529"/>
      <c r="Y50" s="529"/>
      <c r="Z50" s="529"/>
    </row>
    <row r="51" ht="20.25" customHeight="1">
      <c r="A51" s="544">
        <v>11.0</v>
      </c>
      <c r="B51" s="545" t="s">
        <v>27</v>
      </c>
      <c r="C51" s="549"/>
      <c r="D51" s="552"/>
      <c r="E51" s="548">
        <f t="shared" si="12"/>
        <v>0</v>
      </c>
      <c r="F51" s="579">
        <v>0.0</v>
      </c>
      <c r="G51" s="579">
        <v>0.0</v>
      </c>
      <c r="H51" s="580">
        <f t="shared" si="13"/>
        <v>0</v>
      </c>
      <c r="I51" s="585"/>
      <c r="J51" s="586"/>
      <c r="K51" s="580"/>
      <c r="L51" s="587"/>
      <c r="M51" s="588"/>
      <c r="N51" s="580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</row>
    <row r="52" ht="20.25" customHeight="1">
      <c r="A52" s="544">
        <v>12.0</v>
      </c>
      <c r="B52" s="545" t="s">
        <v>28</v>
      </c>
      <c r="C52" s="549"/>
      <c r="D52" s="552"/>
      <c r="E52" s="548">
        <f t="shared" si="12"/>
        <v>0</v>
      </c>
      <c r="F52" s="579">
        <v>0.0</v>
      </c>
      <c r="G52" s="579">
        <v>0.0</v>
      </c>
      <c r="H52" s="580">
        <f t="shared" si="13"/>
        <v>0</v>
      </c>
      <c r="I52" s="585"/>
      <c r="J52" s="586"/>
      <c r="K52" s="580"/>
      <c r="L52" s="587"/>
      <c r="M52" s="588"/>
      <c r="N52" s="580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/>
      <c r="Z52" s="529"/>
    </row>
    <row r="53" ht="20.25" customHeight="1">
      <c r="A53" s="544">
        <v>13.0</v>
      </c>
      <c r="B53" s="545" t="s">
        <v>29</v>
      </c>
      <c r="C53" s="549"/>
      <c r="D53" s="552"/>
      <c r="E53" s="548">
        <f t="shared" si="12"/>
        <v>0</v>
      </c>
      <c r="F53" s="579">
        <v>0.0</v>
      </c>
      <c r="G53" s="579">
        <v>0.0</v>
      </c>
      <c r="H53" s="580">
        <f t="shared" si="13"/>
        <v>0</v>
      </c>
      <c r="I53" s="585"/>
      <c r="J53" s="586"/>
      <c r="K53" s="580"/>
      <c r="L53" s="587"/>
      <c r="M53" s="588"/>
      <c r="N53" s="580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</row>
    <row r="54" ht="20.25" customHeight="1">
      <c r="A54" s="544">
        <v>14.0</v>
      </c>
      <c r="B54" s="545" t="s">
        <v>30</v>
      </c>
      <c r="C54" s="549"/>
      <c r="D54" s="552"/>
      <c r="E54" s="548">
        <f t="shared" si="12"/>
        <v>0</v>
      </c>
      <c r="F54" s="579">
        <v>0.0</v>
      </c>
      <c r="G54" s="579">
        <v>0.0</v>
      </c>
      <c r="H54" s="580">
        <f t="shared" si="13"/>
        <v>0</v>
      </c>
      <c r="I54" s="585"/>
      <c r="J54" s="586"/>
      <c r="K54" s="580"/>
      <c r="L54" s="587"/>
      <c r="M54" s="588"/>
      <c r="N54" s="580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</row>
    <row r="55" ht="20.25" customHeight="1">
      <c r="A55" s="544">
        <v>15.0</v>
      </c>
      <c r="B55" s="545" t="s">
        <v>31</v>
      </c>
      <c r="C55" s="549"/>
      <c r="D55" s="552"/>
      <c r="E55" s="548">
        <f t="shared" si="12"/>
        <v>0</v>
      </c>
      <c r="F55" s="579">
        <v>0.0</v>
      </c>
      <c r="G55" s="579">
        <v>0.0</v>
      </c>
      <c r="H55" s="580">
        <f t="shared" si="13"/>
        <v>0</v>
      </c>
      <c r="I55" s="585"/>
      <c r="J55" s="586"/>
      <c r="K55" s="580"/>
      <c r="L55" s="587"/>
      <c r="M55" s="588"/>
      <c r="N55" s="580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</row>
    <row r="56" ht="20.25" customHeight="1">
      <c r="A56" s="544">
        <v>16.0</v>
      </c>
      <c r="B56" s="545" t="s">
        <v>32</v>
      </c>
      <c r="C56" s="549"/>
      <c r="D56" s="552"/>
      <c r="E56" s="548">
        <f t="shared" si="12"/>
        <v>0</v>
      </c>
      <c r="F56" s="579">
        <v>0.0</v>
      </c>
      <c r="G56" s="579">
        <v>0.0</v>
      </c>
      <c r="H56" s="580">
        <f t="shared" si="13"/>
        <v>0</v>
      </c>
      <c r="I56" s="585"/>
      <c r="J56" s="586"/>
      <c r="K56" s="580"/>
      <c r="L56" s="587"/>
      <c r="M56" s="588"/>
      <c r="N56" s="580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</row>
    <row r="57" ht="20.25" customHeight="1">
      <c r="A57" s="544">
        <v>17.0</v>
      </c>
      <c r="B57" s="545" t="s">
        <v>33</v>
      </c>
      <c r="C57" s="549"/>
      <c r="D57" s="552"/>
      <c r="E57" s="548">
        <f t="shared" si="12"/>
        <v>0</v>
      </c>
      <c r="F57" s="579">
        <v>0.0</v>
      </c>
      <c r="G57" s="579">
        <v>0.0</v>
      </c>
      <c r="H57" s="580">
        <f t="shared" si="13"/>
        <v>0</v>
      </c>
      <c r="I57" s="585"/>
      <c r="J57" s="586"/>
      <c r="K57" s="580"/>
      <c r="L57" s="587"/>
      <c r="M57" s="588"/>
      <c r="N57" s="580"/>
      <c r="O57" s="529"/>
      <c r="P57" s="529"/>
      <c r="Q57" s="529"/>
      <c r="R57" s="529"/>
      <c r="S57" s="529"/>
      <c r="T57" s="529"/>
      <c r="U57" s="529"/>
      <c r="V57" s="529"/>
      <c r="W57" s="529"/>
      <c r="X57" s="529"/>
      <c r="Y57" s="529"/>
      <c r="Z57" s="529"/>
    </row>
    <row r="58" ht="20.25" customHeight="1">
      <c r="A58" s="544">
        <v>18.0</v>
      </c>
      <c r="B58" s="545" t="s">
        <v>34</v>
      </c>
      <c r="C58" s="549"/>
      <c r="D58" s="552"/>
      <c r="E58" s="548">
        <f t="shared" si="12"/>
        <v>0</v>
      </c>
      <c r="F58" s="579">
        <v>0.0</v>
      </c>
      <c r="G58" s="579">
        <v>0.0</v>
      </c>
      <c r="H58" s="580">
        <f t="shared" si="13"/>
        <v>0</v>
      </c>
      <c r="I58" s="585"/>
      <c r="J58" s="586"/>
      <c r="K58" s="580"/>
      <c r="L58" s="587"/>
      <c r="M58" s="588"/>
      <c r="N58" s="580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</row>
    <row r="59" ht="20.25" customHeight="1">
      <c r="A59" s="544">
        <v>19.0</v>
      </c>
      <c r="B59" s="568" t="s">
        <v>35</v>
      </c>
      <c r="C59" s="549"/>
      <c r="D59" s="552"/>
      <c r="E59" s="548">
        <f t="shared" si="12"/>
        <v>0</v>
      </c>
      <c r="F59" s="579">
        <v>0.0</v>
      </c>
      <c r="G59" s="579">
        <v>0.0</v>
      </c>
      <c r="H59" s="580">
        <f t="shared" si="13"/>
        <v>0</v>
      </c>
      <c r="I59" s="585"/>
      <c r="J59" s="586"/>
      <c r="K59" s="580"/>
      <c r="L59" s="587"/>
      <c r="M59" s="588"/>
      <c r="N59" s="580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</row>
    <row r="60" ht="20.25" customHeight="1">
      <c r="A60" s="538" t="s">
        <v>36</v>
      </c>
      <c r="B60" s="21"/>
      <c r="C60" s="570">
        <f t="shared" ref="C60:N60" si="14">SUM(C41:C59)</f>
        <v>0</v>
      </c>
      <c r="D60" s="570">
        <f t="shared" si="14"/>
        <v>0</v>
      </c>
      <c r="E60" s="571">
        <f t="shared" si="14"/>
        <v>0</v>
      </c>
      <c r="F60" s="572">
        <f t="shared" si="14"/>
        <v>0</v>
      </c>
      <c r="G60" s="572">
        <f t="shared" si="14"/>
        <v>0</v>
      </c>
      <c r="H60" s="589">
        <f t="shared" si="14"/>
        <v>0</v>
      </c>
      <c r="I60" s="572">
        <f t="shared" si="14"/>
        <v>0</v>
      </c>
      <c r="J60" s="572">
        <f t="shared" si="14"/>
        <v>0</v>
      </c>
      <c r="K60" s="590">
        <f t="shared" si="14"/>
        <v>0</v>
      </c>
      <c r="L60" s="572">
        <f t="shared" si="14"/>
        <v>0</v>
      </c>
      <c r="M60" s="572">
        <f t="shared" si="14"/>
        <v>0</v>
      </c>
      <c r="N60" s="591">
        <f t="shared" si="14"/>
        <v>0</v>
      </c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</row>
    <row r="61" ht="20.25" customHeight="1">
      <c r="A61" s="529"/>
      <c r="B61" s="529"/>
      <c r="C61" s="529"/>
      <c r="D61" s="529"/>
      <c r="E61" s="576"/>
      <c r="F61" s="529"/>
      <c r="G61" s="529"/>
      <c r="H61" s="576"/>
      <c r="I61" s="529"/>
      <c r="J61" s="529"/>
      <c r="K61" s="576"/>
      <c r="L61" s="529"/>
      <c r="M61" s="529"/>
      <c r="N61" s="576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</row>
    <row r="62" ht="20.25" customHeight="1">
      <c r="A62" s="529"/>
      <c r="B62" s="529"/>
      <c r="C62" s="529"/>
      <c r="D62" s="529"/>
      <c r="E62" s="576"/>
      <c r="F62" s="529"/>
      <c r="G62" s="529"/>
      <c r="H62" s="576"/>
      <c r="I62" s="529"/>
      <c r="J62" s="529"/>
      <c r="K62" s="576"/>
      <c r="L62" s="529"/>
      <c r="M62" s="529"/>
      <c r="N62" s="576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</row>
  </sheetData>
  <mergeCells count="45">
    <mergeCell ref="I36:K37"/>
    <mergeCell ref="L36:N37"/>
    <mergeCell ref="I38:K38"/>
    <mergeCell ref="L38:N38"/>
    <mergeCell ref="A40:B40"/>
    <mergeCell ref="C40:E40"/>
    <mergeCell ref="F40:H40"/>
    <mergeCell ref="I40:K40"/>
    <mergeCell ref="L40:N40"/>
    <mergeCell ref="A60:B60"/>
    <mergeCell ref="A27:B27"/>
    <mergeCell ref="A34:N34"/>
    <mergeCell ref="A35:N35"/>
    <mergeCell ref="A36:A39"/>
    <mergeCell ref="B36:B39"/>
    <mergeCell ref="C36:E37"/>
    <mergeCell ref="F36:H37"/>
    <mergeCell ref="F3:H4"/>
    <mergeCell ref="I3:K4"/>
    <mergeCell ref="L3:N4"/>
    <mergeCell ref="P3:P6"/>
    <mergeCell ref="L5:N5"/>
    <mergeCell ref="L7:N7"/>
    <mergeCell ref="P7:Q7"/>
    <mergeCell ref="R7:T7"/>
    <mergeCell ref="P2:U2"/>
    <mergeCell ref="R3:U4"/>
    <mergeCell ref="I5:K5"/>
    <mergeCell ref="R5:U5"/>
    <mergeCell ref="A1:N1"/>
    <mergeCell ref="P1:U1"/>
    <mergeCell ref="A2:N2"/>
    <mergeCell ref="A3:A6"/>
    <mergeCell ref="B3:B6"/>
    <mergeCell ref="C3:E4"/>
    <mergeCell ref="Q3:Q6"/>
    <mergeCell ref="C5:E5"/>
    <mergeCell ref="F5:H5"/>
    <mergeCell ref="A7:B7"/>
    <mergeCell ref="C7:E7"/>
    <mergeCell ref="F7:H7"/>
    <mergeCell ref="I7:K7"/>
    <mergeCell ref="P27:Q27"/>
    <mergeCell ref="C38:E38"/>
    <mergeCell ref="F38:H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3" max="3" width="9.86"/>
    <col customWidth="1" min="4" max="4" width="10.86"/>
    <col customWidth="1" min="5" max="5" width="12.14"/>
    <col customWidth="1" min="6" max="6" width="13.29"/>
    <col customWidth="1" min="7" max="7" width="14.0"/>
    <col customWidth="1" min="8" max="8" width="13.29"/>
    <col customWidth="1" min="9" max="9" width="13.86"/>
    <col customWidth="1" min="10" max="10" width="12.0"/>
    <col customWidth="1" min="11" max="11" width="13.0"/>
    <col customWidth="1" min="12" max="12" width="10.86"/>
    <col customWidth="1" min="13" max="13" width="13.14"/>
    <col customWidth="1" min="14" max="14" width="14.57"/>
    <col customWidth="1" min="15" max="15" width="17.86"/>
    <col customWidth="1" min="16" max="16" width="9.86"/>
    <col customWidth="1" min="17" max="17" width="16.29"/>
    <col customWidth="1" min="20" max="21" width="16.14"/>
  </cols>
  <sheetData>
    <row r="1" ht="20.25" customHeight="1">
      <c r="A1" s="1" t="s">
        <v>330</v>
      </c>
      <c r="O1" s="2"/>
      <c r="P1" s="3" t="s">
        <v>1</v>
      </c>
      <c r="V1" s="4"/>
      <c r="W1" s="4"/>
      <c r="X1" s="4"/>
      <c r="Y1" s="4"/>
      <c r="Z1" s="4"/>
    </row>
    <row r="2" ht="20.25" customHeight="1">
      <c r="A2" s="1" t="s">
        <v>331</v>
      </c>
      <c r="O2" s="2"/>
      <c r="P2" s="3" t="s">
        <v>332</v>
      </c>
      <c r="V2" s="4"/>
      <c r="W2" s="4"/>
      <c r="X2" s="4"/>
      <c r="Y2" s="4"/>
      <c r="Z2" s="4"/>
    </row>
    <row r="3" ht="20.25" customHeight="1">
      <c r="A3" s="5" t="s">
        <v>4</v>
      </c>
      <c r="B3" s="5" t="s">
        <v>5</v>
      </c>
      <c r="C3" s="6" t="s">
        <v>6</v>
      </c>
      <c r="D3" s="7"/>
      <c r="E3" s="8"/>
      <c r="F3" s="9" t="s">
        <v>7</v>
      </c>
      <c r="G3" s="7"/>
      <c r="H3" s="8"/>
      <c r="I3" s="9" t="s">
        <v>8</v>
      </c>
      <c r="J3" s="7"/>
      <c r="K3" s="8"/>
      <c r="L3" s="9" t="s">
        <v>9</v>
      </c>
      <c r="M3" s="7"/>
      <c r="N3" s="8"/>
      <c r="O3" s="2"/>
      <c r="P3" s="10" t="s">
        <v>4</v>
      </c>
      <c r="Q3" s="10" t="s">
        <v>10</v>
      </c>
      <c r="R3" s="11" t="s">
        <v>11</v>
      </c>
      <c r="S3" s="7"/>
      <c r="T3" s="7"/>
      <c r="U3" s="8"/>
      <c r="V3" s="4"/>
      <c r="W3" s="4"/>
      <c r="X3" s="4"/>
      <c r="Y3" s="4"/>
      <c r="Z3" s="4"/>
    </row>
    <row r="4" ht="20.25" customHeight="1">
      <c r="A4" s="12"/>
      <c r="B4" s="12"/>
      <c r="E4" s="13"/>
      <c r="F4" s="14"/>
      <c r="G4" s="15"/>
      <c r="H4" s="16"/>
      <c r="I4" s="14"/>
      <c r="J4" s="15"/>
      <c r="K4" s="16"/>
      <c r="L4" s="14"/>
      <c r="M4" s="15"/>
      <c r="N4" s="16"/>
      <c r="O4" s="2"/>
      <c r="P4" s="12"/>
      <c r="Q4" s="12"/>
      <c r="R4" s="14"/>
      <c r="S4" s="15"/>
      <c r="T4" s="15"/>
      <c r="U4" s="16"/>
      <c r="V4" s="4"/>
      <c r="W4" s="4"/>
      <c r="X4" s="4"/>
      <c r="Y4" s="4"/>
      <c r="Z4" s="4"/>
    </row>
    <row r="5" ht="20.25" customHeight="1">
      <c r="A5" s="12"/>
      <c r="B5" s="12"/>
      <c r="C5" s="592" t="s">
        <v>198</v>
      </c>
      <c r="D5" s="7"/>
      <c r="E5" s="8"/>
      <c r="F5" s="592" t="s">
        <v>198</v>
      </c>
      <c r="G5" s="7"/>
      <c r="H5" s="8"/>
      <c r="I5" s="592" t="s">
        <v>198</v>
      </c>
      <c r="J5" s="7"/>
      <c r="K5" s="8"/>
      <c r="L5" s="592" t="s">
        <v>198</v>
      </c>
      <c r="M5" s="7"/>
      <c r="N5" s="8"/>
      <c r="O5" s="2"/>
      <c r="P5" s="12"/>
      <c r="Q5" s="12"/>
      <c r="R5" s="593" t="s">
        <v>199</v>
      </c>
      <c r="S5" s="20"/>
      <c r="T5" s="20"/>
      <c r="U5" s="21"/>
      <c r="V5" s="4"/>
      <c r="W5" s="4"/>
      <c r="X5" s="4"/>
      <c r="Y5" s="4"/>
      <c r="Z5" s="4"/>
    </row>
    <row r="6" ht="20.25" customHeight="1">
      <c r="A6" s="22"/>
      <c r="B6" s="22"/>
      <c r="C6" s="23" t="s">
        <v>13</v>
      </c>
      <c r="D6" s="23" t="s">
        <v>14</v>
      </c>
      <c r="E6" s="24" t="s">
        <v>15</v>
      </c>
      <c r="F6" s="23" t="s">
        <v>13</v>
      </c>
      <c r="G6" s="23" t="s">
        <v>14</v>
      </c>
      <c r="H6" s="24" t="s">
        <v>15</v>
      </c>
      <c r="I6" s="23" t="s">
        <v>13</v>
      </c>
      <c r="J6" s="23" t="s">
        <v>14</v>
      </c>
      <c r="K6" s="24" t="s">
        <v>15</v>
      </c>
      <c r="L6" s="23" t="s">
        <v>13</v>
      </c>
      <c r="M6" s="23" t="s">
        <v>14</v>
      </c>
      <c r="N6" s="24" t="s">
        <v>15</v>
      </c>
      <c r="O6" s="2"/>
      <c r="P6" s="22"/>
      <c r="Q6" s="22"/>
      <c r="R6" s="25" t="s">
        <v>13</v>
      </c>
      <c r="S6" s="25" t="s">
        <v>14</v>
      </c>
      <c r="T6" s="25" t="s">
        <v>15</v>
      </c>
      <c r="U6" s="26" t="s">
        <v>16</v>
      </c>
      <c r="V6" s="4"/>
      <c r="W6" s="4"/>
      <c r="X6" s="4"/>
      <c r="Y6" s="4"/>
      <c r="Z6" s="4"/>
    </row>
    <row r="7" ht="20.25" customHeight="1">
      <c r="A7" s="57"/>
      <c r="B7" s="21"/>
      <c r="C7" s="72"/>
      <c r="D7" s="20"/>
      <c r="E7" s="21"/>
      <c r="F7" s="74"/>
      <c r="G7" s="20"/>
      <c r="H7" s="21"/>
      <c r="I7" s="74"/>
      <c r="J7" s="20"/>
      <c r="K7" s="20"/>
      <c r="L7" s="74"/>
      <c r="M7" s="20"/>
      <c r="N7" s="21"/>
      <c r="O7" s="44"/>
      <c r="P7" s="57"/>
      <c r="Q7" s="21"/>
      <c r="R7" s="114"/>
      <c r="S7" s="20"/>
      <c r="T7" s="21"/>
      <c r="U7" s="594"/>
      <c r="V7" s="4"/>
      <c r="W7" s="4"/>
      <c r="X7" s="4"/>
      <c r="Y7" s="4"/>
      <c r="Z7" s="4"/>
    </row>
    <row r="8" ht="20.25" customHeight="1">
      <c r="A8" s="29">
        <v>1.0</v>
      </c>
      <c r="B8" s="30" t="s">
        <v>17</v>
      </c>
      <c r="C8" s="31">
        <v>8100.0</v>
      </c>
      <c r="D8" s="31">
        <v>8100.0</v>
      </c>
      <c r="E8" s="32">
        <f t="shared" ref="E8:E26" si="1">SUM(C8-D8)</f>
        <v>0</v>
      </c>
      <c r="F8" s="33">
        <v>1425.0</v>
      </c>
      <c r="G8" s="31">
        <v>1425.0</v>
      </c>
      <c r="H8" s="32">
        <f t="shared" ref="H8:H26" si="2">SUM(F8-G8)</f>
        <v>0</v>
      </c>
      <c r="I8" s="34">
        <v>27000.0</v>
      </c>
      <c r="J8" s="75">
        <f>12730+14270</f>
        <v>27000</v>
      </c>
      <c r="K8" s="32">
        <f t="shared" ref="K8:K26" si="3">SUM(I8-J8)</f>
        <v>0</v>
      </c>
      <c r="L8" s="595">
        <f>100000</f>
        <v>100000</v>
      </c>
      <c r="M8" s="54">
        <f>23112+641.91+23112+2429.03+1575.41+2023.37+1080.94+1432.15+882.22+885+18650.91+23112+431.43+575</f>
        <v>99943.37</v>
      </c>
      <c r="N8" s="105">
        <f t="shared" ref="N8:N14" si="4">SUM(L8-M8)</f>
        <v>56.63</v>
      </c>
      <c r="O8" s="38"/>
      <c r="P8" s="29">
        <v>1.0</v>
      </c>
      <c r="Q8" s="30" t="s">
        <v>17</v>
      </c>
      <c r="R8" s="596">
        <f>C8+F8+I8+L8+C37+F37+I37+L37+C66+F66+I66+L66+C95+F95+I95</f>
        <v>2845113.61</v>
      </c>
      <c r="S8" s="597">
        <f>D8+G8+J8+M8+D37+G37+J37+M37+D66+G66+J66+M66+D95</f>
        <v>1530043.37</v>
      </c>
      <c r="T8" s="598">
        <f t="shared" ref="T8:T27" si="5">R8-S8</f>
        <v>1315070.24</v>
      </c>
      <c r="U8" s="599">
        <f t="shared" ref="U8:U27" si="6">S8*100/R8</f>
        <v>53.77793578</v>
      </c>
      <c r="V8" s="4"/>
      <c r="W8" s="4"/>
      <c r="X8" s="4"/>
      <c r="Y8" s="4"/>
      <c r="Z8" s="4"/>
    </row>
    <row r="9" ht="20.25" customHeight="1">
      <c r="A9" s="29">
        <v>2.0</v>
      </c>
      <c r="B9" s="45" t="s">
        <v>18</v>
      </c>
      <c r="C9" s="46">
        <v>2240.0</v>
      </c>
      <c r="D9" s="31">
        <v>2240.0</v>
      </c>
      <c r="E9" s="32">
        <f t="shared" si="1"/>
        <v>0</v>
      </c>
      <c r="F9" s="47">
        <v>2110.0</v>
      </c>
      <c r="G9" s="31">
        <v>2110.0</v>
      </c>
      <c r="H9" s="32">
        <f t="shared" si="2"/>
        <v>0</v>
      </c>
      <c r="I9" s="34">
        <v>1500.0</v>
      </c>
      <c r="J9" s="48">
        <v>1500.0</v>
      </c>
      <c r="K9" s="32">
        <f t="shared" si="3"/>
        <v>0</v>
      </c>
      <c r="L9" s="49">
        <v>0.0</v>
      </c>
      <c r="M9" s="600">
        <v>0.0</v>
      </c>
      <c r="N9" s="51">
        <f t="shared" si="4"/>
        <v>0</v>
      </c>
      <c r="O9" s="38"/>
      <c r="P9" s="29">
        <v>2.0</v>
      </c>
      <c r="Q9" s="45" t="s">
        <v>18</v>
      </c>
      <c r="R9" s="596">
        <f t="shared" ref="R9:R26" si="7">C9+F9+I9+L9+C38+F38+I38+L38+C67+F67+I67+L67</f>
        <v>25290</v>
      </c>
      <c r="S9" s="596">
        <f t="shared" ref="S9:S26" si="8">D9+G9+J9+D38+G38+J38+M38+D67+G67+J67+M67</f>
        <v>25290</v>
      </c>
      <c r="T9" s="598">
        <f t="shared" si="5"/>
        <v>0</v>
      </c>
      <c r="U9" s="599">
        <f t="shared" si="6"/>
        <v>100</v>
      </c>
      <c r="V9" s="4"/>
      <c r="W9" s="4"/>
      <c r="X9" s="4"/>
      <c r="Y9" s="4"/>
      <c r="Z9" s="4"/>
    </row>
    <row r="10" ht="20.25" customHeight="1">
      <c r="A10" s="29">
        <v>3.0</v>
      </c>
      <c r="B10" s="30" t="s">
        <v>21</v>
      </c>
      <c r="C10" s="46">
        <v>1870.0</v>
      </c>
      <c r="D10" s="31">
        <v>1870.0</v>
      </c>
      <c r="E10" s="32">
        <f t="shared" si="1"/>
        <v>0</v>
      </c>
      <c r="F10" s="47">
        <v>1770.0</v>
      </c>
      <c r="G10" s="31">
        <v>1770.0</v>
      </c>
      <c r="H10" s="32">
        <f t="shared" si="2"/>
        <v>0</v>
      </c>
      <c r="I10" s="34">
        <v>1500.0</v>
      </c>
      <c r="J10" s="31">
        <f>1000+500</f>
        <v>1500</v>
      </c>
      <c r="K10" s="32">
        <f t="shared" si="3"/>
        <v>0</v>
      </c>
      <c r="L10" s="49">
        <v>0.0</v>
      </c>
      <c r="M10" s="600">
        <v>0.0</v>
      </c>
      <c r="N10" s="51">
        <f t="shared" si="4"/>
        <v>0</v>
      </c>
      <c r="O10" s="38"/>
      <c r="P10" s="29">
        <v>3.0</v>
      </c>
      <c r="Q10" s="30" t="s">
        <v>19</v>
      </c>
      <c r="R10" s="596">
        <f t="shared" si="7"/>
        <v>20980</v>
      </c>
      <c r="S10" s="596">
        <f t="shared" si="8"/>
        <v>20980</v>
      </c>
      <c r="T10" s="598">
        <f t="shared" si="5"/>
        <v>0</v>
      </c>
      <c r="U10" s="599">
        <f t="shared" si="6"/>
        <v>100</v>
      </c>
      <c r="V10" s="4"/>
      <c r="W10" s="4"/>
      <c r="X10" s="4"/>
      <c r="Y10" s="4"/>
      <c r="Z10" s="4"/>
    </row>
    <row r="11" ht="20.25" customHeight="1">
      <c r="A11" s="29">
        <v>4.0</v>
      </c>
      <c r="B11" s="601" t="s">
        <v>24</v>
      </c>
      <c r="C11" s="46">
        <v>1240.0</v>
      </c>
      <c r="D11" s="31">
        <v>1240.0</v>
      </c>
      <c r="E11" s="32">
        <f t="shared" si="1"/>
        <v>0</v>
      </c>
      <c r="F11" s="47">
        <v>1180.0</v>
      </c>
      <c r="G11" s="31">
        <v>1180.0</v>
      </c>
      <c r="H11" s="32">
        <f t="shared" si="2"/>
        <v>0</v>
      </c>
      <c r="I11" s="34">
        <v>1500.0</v>
      </c>
      <c r="J11" s="48">
        <v>1500.0</v>
      </c>
      <c r="K11" s="32">
        <f t="shared" si="3"/>
        <v>0</v>
      </c>
      <c r="L11" s="49">
        <v>0.0</v>
      </c>
      <c r="M11" s="600">
        <v>0.0</v>
      </c>
      <c r="N11" s="51">
        <f t="shared" si="4"/>
        <v>0</v>
      </c>
      <c r="O11" s="38"/>
      <c r="P11" s="29">
        <v>4.0</v>
      </c>
      <c r="Q11" s="30" t="s">
        <v>20</v>
      </c>
      <c r="R11" s="596">
        <f t="shared" si="7"/>
        <v>16160</v>
      </c>
      <c r="S11" s="596">
        <f t="shared" si="8"/>
        <v>16160</v>
      </c>
      <c r="T11" s="598">
        <f t="shared" si="5"/>
        <v>0</v>
      </c>
      <c r="U11" s="599">
        <f t="shared" si="6"/>
        <v>100</v>
      </c>
      <c r="V11" s="4"/>
      <c r="W11" s="4"/>
      <c r="X11" s="4"/>
      <c r="Y11" s="4"/>
      <c r="Z11" s="4"/>
    </row>
    <row r="12" ht="20.25" customHeight="1">
      <c r="A12" s="29">
        <v>5.0</v>
      </c>
      <c r="B12" s="601" t="s">
        <v>20</v>
      </c>
      <c r="C12" s="46">
        <v>2000.0</v>
      </c>
      <c r="D12" s="31">
        <v>2000.0</v>
      </c>
      <c r="E12" s="32">
        <f t="shared" si="1"/>
        <v>0</v>
      </c>
      <c r="F12" s="47">
        <v>1750.0</v>
      </c>
      <c r="G12" s="31">
        <v>1750.0</v>
      </c>
      <c r="H12" s="32">
        <f t="shared" si="2"/>
        <v>0</v>
      </c>
      <c r="I12" s="34">
        <v>2500.0</v>
      </c>
      <c r="J12" s="48">
        <v>2500.0</v>
      </c>
      <c r="K12" s="32">
        <f t="shared" si="3"/>
        <v>0</v>
      </c>
      <c r="L12" s="49">
        <v>0.0</v>
      </c>
      <c r="M12" s="600">
        <v>0.0</v>
      </c>
      <c r="N12" s="51">
        <f t="shared" si="4"/>
        <v>0</v>
      </c>
      <c r="O12" s="38"/>
      <c r="P12" s="29">
        <v>5.0</v>
      </c>
      <c r="Q12" s="30" t="s">
        <v>21</v>
      </c>
      <c r="R12" s="596">
        <f t="shared" si="7"/>
        <v>29290</v>
      </c>
      <c r="S12" s="596">
        <f t="shared" si="8"/>
        <v>29290</v>
      </c>
      <c r="T12" s="598">
        <f t="shared" si="5"/>
        <v>0</v>
      </c>
      <c r="U12" s="599">
        <f t="shared" si="6"/>
        <v>100</v>
      </c>
      <c r="V12" s="4"/>
      <c r="W12" s="4"/>
      <c r="X12" s="4"/>
      <c r="Y12" s="4"/>
      <c r="Z12" s="4"/>
    </row>
    <row r="13" ht="20.25" customHeight="1">
      <c r="A13" s="29">
        <v>6.0</v>
      </c>
      <c r="B13" s="601" t="s">
        <v>19</v>
      </c>
      <c r="C13" s="46">
        <v>2240.0</v>
      </c>
      <c r="D13" s="31">
        <v>2240.0</v>
      </c>
      <c r="E13" s="32">
        <f t="shared" si="1"/>
        <v>0</v>
      </c>
      <c r="F13" s="47">
        <v>2110.0</v>
      </c>
      <c r="G13" s="31">
        <v>2110.0</v>
      </c>
      <c r="H13" s="32">
        <f t="shared" si="2"/>
        <v>0</v>
      </c>
      <c r="I13" s="34">
        <v>2500.0</v>
      </c>
      <c r="J13" s="31">
        <f>1500+1000</f>
        <v>2500</v>
      </c>
      <c r="K13" s="32">
        <f t="shared" si="3"/>
        <v>0</v>
      </c>
      <c r="L13" s="49">
        <v>0.0</v>
      </c>
      <c r="M13" s="600">
        <v>0.0</v>
      </c>
      <c r="N13" s="51">
        <f t="shared" si="4"/>
        <v>0</v>
      </c>
      <c r="O13" s="38"/>
      <c r="P13" s="29">
        <v>6.0</v>
      </c>
      <c r="Q13" s="30" t="s">
        <v>22</v>
      </c>
      <c r="R13" s="596">
        <f t="shared" si="7"/>
        <v>33490</v>
      </c>
      <c r="S13" s="596">
        <f t="shared" si="8"/>
        <v>32290</v>
      </c>
      <c r="T13" s="598">
        <f t="shared" si="5"/>
        <v>1200</v>
      </c>
      <c r="U13" s="599">
        <f t="shared" si="6"/>
        <v>96.41684085</v>
      </c>
      <c r="V13" s="4"/>
      <c r="W13" s="4"/>
      <c r="X13" s="4"/>
      <c r="Y13" s="4"/>
      <c r="Z13" s="4"/>
    </row>
    <row r="14" ht="20.25" customHeight="1">
      <c r="A14" s="29">
        <v>7.0</v>
      </c>
      <c r="B14" s="601" t="s">
        <v>23</v>
      </c>
      <c r="C14" s="46">
        <v>1500.0</v>
      </c>
      <c r="D14" s="31">
        <v>1500.0</v>
      </c>
      <c r="E14" s="32">
        <f t="shared" si="1"/>
        <v>0</v>
      </c>
      <c r="F14" s="47">
        <v>1400.0</v>
      </c>
      <c r="G14" s="31">
        <v>1400.0</v>
      </c>
      <c r="H14" s="32">
        <f t="shared" si="2"/>
        <v>0</v>
      </c>
      <c r="I14" s="34">
        <v>1500.0</v>
      </c>
      <c r="J14" s="48">
        <v>1500.0</v>
      </c>
      <c r="K14" s="32">
        <f t="shared" si="3"/>
        <v>0</v>
      </c>
      <c r="L14" s="49">
        <v>0.0</v>
      </c>
      <c r="M14" s="600">
        <v>0.0</v>
      </c>
      <c r="N14" s="51">
        <f t="shared" si="4"/>
        <v>0</v>
      </c>
      <c r="O14" s="38"/>
      <c r="P14" s="29">
        <v>7.0</v>
      </c>
      <c r="Q14" s="30" t="s">
        <v>24</v>
      </c>
      <c r="R14" s="596">
        <f t="shared" si="7"/>
        <v>20240</v>
      </c>
      <c r="S14" s="596">
        <f t="shared" si="8"/>
        <v>20240</v>
      </c>
      <c r="T14" s="598">
        <f t="shared" si="5"/>
        <v>0</v>
      </c>
      <c r="U14" s="599">
        <f t="shared" si="6"/>
        <v>100</v>
      </c>
      <c r="V14" s="4"/>
      <c r="W14" s="4"/>
      <c r="X14" s="4"/>
      <c r="Y14" s="4"/>
      <c r="Z14" s="4"/>
    </row>
    <row r="15" ht="20.25" customHeight="1">
      <c r="A15" s="29">
        <v>8.0</v>
      </c>
      <c r="B15" s="601" t="s">
        <v>26</v>
      </c>
      <c r="C15" s="46">
        <v>1240.0</v>
      </c>
      <c r="D15" s="31">
        <v>1240.0</v>
      </c>
      <c r="E15" s="32">
        <f t="shared" si="1"/>
        <v>0</v>
      </c>
      <c r="F15" s="47">
        <v>1180.0</v>
      </c>
      <c r="G15" s="31">
        <v>1180.0</v>
      </c>
      <c r="H15" s="32">
        <f t="shared" si="2"/>
        <v>0</v>
      </c>
      <c r="I15" s="34">
        <v>1500.0</v>
      </c>
      <c r="J15" s="48">
        <v>1500.0</v>
      </c>
      <c r="K15" s="32">
        <f t="shared" si="3"/>
        <v>0</v>
      </c>
      <c r="L15" s="49">
        <v>0.0</v>
      </c>
      <c r="M15" s="600">
        <v>0.0</v>
      </c>
      <c r="N15" s="51">
        <v>0.0</v>
      </c>
      <c r="O15" s="38"/>
      <c r="P15" s="29">
        <v>8.0</v>
      </c>
      <c r="Q15" s="30" t="s">
        <v>25</v>
      </c>
      <c r="R15" s="596">
        <f t="shared" si="7"/>
        <v>16160</v>
      </c>
      <c r="S15" s="596">
        <f t="shared" si="8"/>
        <v>15680</v>
      </c>
      <c r="T15" s="598">
        <f t="shared" si="5"/>
        <v>480</v>
      </c>
      <c r="U15" s="599">
        <f t="shared" si="6"/>
        <v>97.02970297</v>
      </c>
      <c r="V15" s="4"/>
      <c r="W15" s="4"/>
      <c r="X15" s="4"/>
      <c r="Y15" s="4"/>
      <c r="Z15" s="4"/>
    </row>
    <row r="16" ht="20.25" customHeight="1">
      <c r="A16" s="29">
        <v>9.0</v>
      </c>
      <c r="B16" s="601" t="s">
        <v>30</v>
      </c>
      <c r="C16" s="46">
        <v>1100.0</v>
      </c>
      <c r="D16" s="31">
        <v>1100.0</v>
      </c>
      <c r="E16" s="32">
        <f t="shared" si="1"/>
        <v>0</v>
      </c>
      <c r="F16" s="47">
        <v>1000.0</v>
      </c>
      <c r="G16" s="31">
        <v>1000.0</v>
      </c>
      <c r="H16" s="32">
        <f t="shared" si="2"/>
        <v>0</v>
      </c>
      <c r="I16" s="34">
        <v>1500.0</v>
      </c>
      <c r="J16" s="48">
        <v>1500.0</v>
      </c>
      <c r="K16" s="32">
        <f t="shared" si="3"/>
        <v>0</v>
      </c>
      <c r="L16" s="49">
        <v>0.0</v>
      </c>
      <c r="M16" s="600">
        <v>0.0</v>
      </c>
      <c r="N16" s="51">
        <f t="shared" ref="N16:N27" si="9">SUM(L16-M16)</f>
        <v>0</v>
      </c>
      <c r="O16" s="38"/>
      <c r="P16" s="29">
        <v>9.0</v>
      </c>
      <c r="Q16" s="30" t="s">
        <v>23</v>
      </c>
      <c r="R16" s="596">
        <f t="shared" si="7"/>
        <v>12240</v>
      </c>
      <c r="S16" s="596">
        <f t="shared" si="8"/>
        <v>12240</v>
      </c>
      <c r="T16" s="598">
        <f t="shared" si="5"/>
        <v>0</v>
      </c>
      <c r="U16" s="599">
        <f t="shared" si="6"/>
        <v>100</v>
      </c>
      <c r="V16" s="4"/>
      <c r="W16" s="4"/>
      <c r="X16" s="4"/>
      <c r="Y16" s="4"/>
      <c r="Z16" s="4"/>
    </row>
    <row r="17" ht="20.25" customHeight="1">
      <c r="A17" s="29">
        <v>10.0</v>
      </c>
      <c r="B17" s="601" t="s">
        <v>22</v>
      </c>
      <c r="C17" s="46">
        <v>1620.0</v>
      </c>
      <c r="D17" s="31">
        <v>1620.0</v>
      </c>
      <c r="E17" s="32">
        <f t="shared" si="1"/>
        <v>0</v>
      </c>
      <c r="F17" s="47">
        <v>1500.0</v>
      </c>
      <c r="G17" s="31">
        <v>1500.0</v>
      </c>
      <c r="H17" s="32">
        <f t="shared" si="2"/>
        <v>0</v>
      </c>
      <c r="I17" s="34">
        <v>3000.0</v>
      </c>
      <c r="J17" s="48">
        <v>3000.0</v>
      </c>
      <c r="K17" s="32">
        <f t="shared" si="3"/>
        <v>0</v>
      </c>
      <c r="L17" s="49">
        <v>0.0</v>
      </c>
      <c r="M17" s="600">
        <v>0.0</v>
      </c>
      <c r="N17" s="51">
        <f t="shared" si="9"/>
        <v>0</v>
      </c>
      <c r="O17" s="38"/>
      <c r="P17" s="29">
        <v>10.0</v>
      </c>
      <c r="Q17" s="30" t="s">
        <v>30</v>
      </c>
      <c r="R17" s="596">
        <f t="shared" si="7"/>
        <v>25560</v>
      </c>
      <c r="S17" s="596">
        <f t="shared" si="8"/>
        <v>25560</v>
      </c>
      <c r="T17" s="598">
        <f t="shared" si="5"/>
        <v>0</v>
      </c>
      <c r="U17" s="599">
        <f t="shared" si="6"/>
        <v>100</v>
      </c>
      <c r="V17" s="4"/>
      <c r="W17" s="4"/>
      <c r="X17" s="4"/>
      <c r="Y17" s="4"/>
      <c r="Z17" s="4"/>
    </row>
    <row r="18" ht="20.25" customHeight="1">
      <c r="A18" s="29">
        <v>11.0</v>
      </c>
      <c r="B18" s="601" t="s">
        <v>25</v>
      </c>
      <c r="C18" s="46">
        <v>1240.0</v>
      </c>
      <c r="D18" s="31">
        <v>1240.0</v>
      </c>
      <c r="E18" s="32">
        <f t="shared" si="1"/>
        <v>0</v>
      </c>
      <c r="F18" s="47">
        <v>1180.0</v>
      </c>
      <c r="G18" s="31">
        <v>1180.0</v>
      </c>
      <c r="H18" s="32">
        <f t="shared" si="2"/>
        <v>0</v>
      </c>
      <c r="I18" s="34">
        <v>1500.0</v>
      </c>
      <c r="J18" s="48">
        <v>1500.0</v>
      </c>
      <c r="K18" s="32">
        <f t="shared" si="3"/>
        <v>0</v>
      </c>
      <c r="L18" s="49">
        <v>0.0</v>
      </c>
      <c r="M18" s="600">
        <v>0.0</v>
      </c>
      <c r="N18" s="51">
        <f t="shared" si="9"/>
        <v>0</v>
      </c>
      <c r="O18" s="38"/>
      <c r="P18" s="29">
        <v>11.0</v>
      </c>
      <c r="Q18" s="30" t="s">
        <v>32</v>
      </c>
      <c r="R18" s="596">
        <f t="shared" si="7"/>
        <v>16160</v>
      </c>
      <c r="S18" s="596">
        <f t="shared" si="8"/>
        <v>16160</v>
      </c>
      <c r="T18" s="598">
        <f t="shared" si="5"/>
        <v>0</v>
      </c>
      <c r="U18" s="599">
        <f t="shared" si="6"/>
        <v>100</v>
      </c>
      <c r="V18" s="4"/>
      <c r="W18" s="4"/>
      <c r="X18" s="4"/>
      <c r="Y18" s="4"/>
      <c r="Z18" s="4"/>
    </row>
    <row r="19" ht="20.25" customHeight="1">
      <c r="A19" s="29">
        <v>12.0</v>
      </c>
      <c r="B19" s="601" t="s">
        <v>32</v>
      </c>
      <c r="C19" s="46">
        <v>1100.0</v>
      </c>
      <c r="D19" s="31">
        <v>1100.0</v>
      </c>
      <c r="E19" s="32">
        <f t="shared" si="1"/>
        <v>0</v>
      </c>
      <c r="F19" s="47">
        <v>1000.0</v>
      </c>
      <c r="G19" s="31">
        <v>1000.0</v>
      </c>
      <c r="H19" s="32">
        <f t="shared" si="2"/>
        <v>0</v>
      </c>
      <c r="I19" s="34">
        <v>2000.0</v>
      </c>
      <c r="J19" s="31">
        <v>2000.0</v>
      </c>
      <c r="K19" s="32">
        <f t="shared" si="3"/>
        <v>0</v>
      </c>
      <c r="L19" s="49">
        <v>0.0</v>
      </c>
      <c r="M19" s="600">
        <v>0.0</v>
      </c>
      <c r="N19" s="51">
        <f t="shared" si="9"/>
        <v>0</v>
      </c>
      <c r="O19" s="38"/>
      <c r="P19" s="29">
        <v>12.0</v>
      </c>
      <c r="Q19" s="30" t="s">
        <v>26</v>
      </c>
      <c r="R19" s="596">
        <f t="shared" si="7"/>
        <v>12740</v>
      </c>
      <c r="S19" s="596">
        <f t="shared" si="8"/>
        <v>12740</v>
      </c>
      <c r="T19" s="598">
        <f t="shared" si="5"/>
        <v>0</v>
      </c>
      <c r="U19" s="599">
        <f t="shared" si="6"/>
        <v>100</v>
      </c>
      <c r="V19" s="4"/>
      <c r="W19" s="4"/>
      <c r="X19" s="4"/>
      <c r="Y19" s="4"/>
      <c r="Z19" s="4"/>
    </row>
    <row r="20" ht="20.25" customHeight="1">
      <c r="A20" s="29">
        <v>13.0</v>
      </c>
      <c r="B20" s="601" t="s">
        <v>31</v>
      </c>
      <c r="C20" s="46">
        <v>1100.0</v>
      </c>
      <c r="D20" s="31">
        <v>1100.0</v>
      </c>
      <c r="E20" s="32">
        <f t="shared" si="1"/>
        <v>0</v>
      </c>
      <c r="F20" s="47">
        <v>1000.0</v>
      </c>
      <c r="G20" s="31">
        <v>1000.0</v>
      </c>
      <c r="H20" s="32">
        <f t="shared" si="2"/>
        <v>0</v>
      </c>
      <c r="I20" s="34">
        <v>2000.0</v>
      </c>
      <c r="J20" s="31">
        <v>2000.0</v>
      </c>
      <c r="K20" s="32">
        <f t="shared" si="3"/>
        <v>0</v>
      </c>
      <c r="L20" s="49">
        <v>0.0</v>
      </c>
      <c r="M20" s="600">
        <v>0.0</v>
      </c>
      <c r="N20" s="51">
        <f t="shared" si="9"/>
        <v>0</v>
      </c>
      <c r="O20" s="38"/>
      <c r="P20" s="29">
        <v>13.0</v>
      </c>
      <c r="Q20" s="30" t="s">
        <v>28</v>
      </c>
      <c r="R20" s="596">
        <f t="shared" si="7"/>
        <v>12740</v>
      </c>
      <c r="S20" s="596">
        <f t="shared" si="8"/>
        <v>12740</v>
      </c>
      <c r="T20" s="598">
        <f t="shared" si="5"/>
        <v>0</v>
      </c>
      <c r="U20" s="599">
        <f t="shared" si="6"/>
        <v>100</v>
      </c>
      <c r="V20" s="4"/>
      <c r="W20" s="4"/>
      <c r="X20" s="4"/>
      <c r="Y20" s="4"/>
      <c r="Z20" s="4"/>
    </row>
    <row r="21" ht="20.25" customHeight="1">
      <c r="A21" s="29">
        <v>14.0</v>
      </c>
      <c r="B21" s="601" t="s">
        <v>35</v>
      </c>
      <c r="C21" s="46">
        <v>1100.0</v>
      </c>
      <c r="D21" s="31">
        <v>1100.0</v>
      </c>
      <c r="E21" s="32">
        <f t="shared" si="1"/>
        <v>0</v>
      </c>
      <c r="F21" s="47">
        <v>1000.0</v>
      </c>
      <c r="G21" s="31">
        <v>1000.0</v>
      </c>
      <c r="H21" s="32">
        <f t="shared" si="2"/>
        <v>0</v>
      </c>
      <c r="I21" s="34">
        <v>1000.0</v>
      </c>
      <c r="J21" s="48">
        <v>1000.0</v>
      </c>
      <c r="K21" s="32">
        <f t="shared" si="3"/>
        <v>0</v>
      </c>
      <c r="L21" s="49">
        <v>0.0</v>
      </c>
      <c r="M21" s="600">
        <v>0.0</v>
      </c>
      <c r="N21" s="51">
        <f t="shared" si="9"/>
        <v>0</v>
      </c>
      <c r="O21" s="38"/>
      <c r="P21" s="29">
        <v>14.0</v>
      </c>
      <c r="Q21" s="30" t="s">
        <v>31</v>
      </c>
      <c r="R21" s="596">
        <f t="shared" si="7"/>
        <v>11740</v>
      </c>
      <c r="S21" s="596">
        <f t="shared" si="8"/>
        <v>11740</v>
      </c>
      <c r="T21" s="598">
        <f t="shared" si="5"/>
        <v>0</v>
      </c>
      <c r="U21" s="599">
        <f t="shared" si="6"/>
        <v>100</v>
      </c>
      <c r="V21" s="4"/>
      <c r="W21" s="4"/>
      <c r="X21" s="4"/>
      <c r="Y21" s="4"/>
      <c r="Z21" s="4"/>
    </row>
    <row r="22" ht="20.25" customHeight="1">
      <c r="A22" s="29">
        <v>15.0</v>
      </c>
      <c r="B22" s="602" t="s">
        <v>29</v>
      </c>
      <c r="C22" s="46">
        <v>1100.0</v>
      </c>
      <c r="D22" s="31">
        <v>1100.0</v>
      </c>
      <c r="E22" s="32">
        <f t="shared" si="1"/>
        <v>0</v>
      </c>
      <c r="F22" s="47">
        <v>1000.0</v>
      </c>
      <c r="G22" s="31">
        <v>1000.0</v>
      </c>
      <c r="H22" s="32">
        <f t="shared" si="2"/>
        <v>0</v>
      </c>
      <c r="I22" s="34">
        <v>1000.0</v>
      </c>
      <c r="J22" s="48">
        <v>1000.0</v>
      </c>
      <c r="K22" s="32">
        <f t="shared" si="3"/>
        <v>0</v>
      </c>
      <c r="L22" s="49">
        <v>0.0</v>
      </c>
      <c r="M22" s="600">
        <v>0.0</v>
      </c>
      <c r="N22" s="51">
        <f t="shared" si="9"/>
        <v>0</v>
      </c>
      <c r="O22" s="38"/>
      <c r="P22" s="29">
        <v>15.0</v>
      </c>
      <c r="Q22" s="55" t="s">
        <v>35</v>
      </c>
      <c r="R22" s="596">
        <f t="shared" si="7"/>
        <v>11740</v>
      </c>
      <c r="S22" s="596">
        <f t="shared" si="8"/>
        <v>11740</v>
      </c>
      <c r="T22" s="598">
        <f t="shared" si="5"/>
        <v>0</v>
      </c>
      <c r="U22" s="599">
        <f t="shared" si="6"/>
        <v>100</v>
      </c>
      <c r="V22" s="4"/>
      <c r="W22" s="4"/>
      <c r="X22" s="4"/>
      <c r="Y22" s="4"/>
      <c r="Z22" s="4"/>
    </row>
    <row r="23" ht="20.25" customHeight="1">
      <c r="A23" s="29">
        <v>16.0</v>
      </c>
      <c r="B23" s="601" t="s">
        <v>33</v>
      </c>
      <c r="C23" s="46">
        <v>1100.0</v>
      </c>
      <c r="D23" s="31">
        <v>1100.0</v>
      </c>
      <c r="E23" s="32">
        <f t="shared" si="1"/>
        <v>0</v>
      </c>
      <c r="F23" s="47">
        <v>1000.0</v>
      </c>
      <c r="G23" s="31">
        <v>1000.0</v>
      </c>
      <c r="H23" s="32">
        <f t="shared" si="2"/>
        <v>0</v>
      </c>
      <c r="I23" s="34">
        <v>1000.0</v>
      </c>
      <c r="J23" s="48">
        <v>1000.0</v>
      </c>
      <c r="K23" s="32">
        <f t="shared" si="3"/>
        <v>0</v>
      </c>
      <c r="L23" s="49">
        <v>0.0</v>
      </c>
      <c r="M23" s="600">
        <v>0.0</v>
      </c>
      <c r="N23" s="51">
        <f t="shared" si="9"/>
        <v>0</v>
      </c>
      <c r="O23" s="38"/>
      <c r="P23" s="29">
        <v>16.0</v>
      </c>
      <c r="Q23" s="30" t="s">
        <v>29</v>
      </c>
      <c r="R23" s="596">
        <f t="shared" si="7"/>
        <v>15340</v>
      </c>
      <c r="S23" s="596">
        <f t="shared" si="8"/>
        <v>15340</v>
      </c>
      <c r="T23" s="598">
        <f t="shared" si="5"/>
        <v>0</v>
      </c>
      <c r="U23" s="599">
        <f t="shared" si="6"/>
        <v>100</v>
      </c>
      <c r="V23" s="4"/>
      <c r="W23" s="4"/>
      <c r="X23" s="4"/>
      <c r="Y23" s="4"/>
      <c r="Z23" s="4"/>
    </row>
    <row r="24" ht="20.25" customHeight="1">
      <c r="A24" s="29">
        <v>17.0</v>
      </c>
      <c r="B24" s="601" t="s">
        <v>27</v>
      </c>
      <c r="C24" s="46">
        <v>1240.0</v>
      </c>
      <c r="D24" s="31">
        <v>1240.0</v>
      </c>
      <c r="E24" s="32">
        <f t="shared" si="1"/>
        <v>0</v>
      </c>
      <c r="F24" s="47">
        <v>1180.0</v>
      </c>
      <c r="G24" s="31">
        <v>1180.0</v>
      </c>
      <c r="H24" s="32">
        <f t="shared" si="2"/>
        <v>0</v>
      </c>
      <c r="I24" s="34">
        <v>2000.0</v>
      </c>
      <c r="J24" s="48">
        <v>2000.0</v>
      </c>
      <c r="K24" s="32">
        <f t="shared" si="3"/>
        <v>0</v>
      </c>
      <c r="L24" s="49">
        <v>0.0</v>
      </c>
      <c r="M24" s="600">
        <v>0.0</v>
      </c>
      <c r="N24" s="51">
        <f t="shared" si="9"/>
        <v>0</v>
      </c>
      <c r="O24" s="38"/>
      <c r="P24" s="29">
        <v>17.0</v>
      </c>
      <c r="Q24" s="30" t="s">
        <v>33</v>
      </c>
      <c r="R24" s="596">
        <f t="shared" si="7"/>
        <v>16660</v>
      </c>
      <c r="S24" s="596">
        <f t="shared" si="8"/>
        <v>16660</v>
      </c>
      <c r="T24" s="598">
        <f t="shared" si="5"/>
        <v>0</v>
      </c>
      <c r="U24" s="599">
        <f t="shared" si="6"/>
        <v>100</v>
      </c>
      <c r="V24" s="4"/>
      <c r="W24" s="4"/>
      <c r="X24" s="4"/>
      <c r="Y24" s="4"/>
      <c r="Z24" s="4"/>
    </row>
    <row r="25" ht="20.25" customHeight="1">
      <c r="A25" s="29">
        <v>18.0</v>
      </c>
      <c r="B25" s="601" t="s">
        <v>28</v>
      </c>
      <c r="C25" s="46">
        <v>1240.0</v>
      </c>
      <c r="D25" s="31">
        <v>1240.0</v>
      </c>
      <c r="E25" s="32">
        <f t="shared" si="1"/>
        <v>0</v>
      </c>
      <c r="F25" s="47">
        <v>1180.0</v>
      </c>
      <c r="G25" s="31">
        <v>1180.0</v>
      </c>
      <c r="H25" s="32">
        <f t="shared" si="2"/>
        <v>0</v>
      </c>
      <c r="I25" s="34">
        <v>1000.0</v>
      </c>
      <c r="J25" s="31">
        <v>1000.0</v>
      </c>
      <c r="K25" s="32">
        <f t="shared" si="3"/>
        <v>0</v>
      </c>
      <c r="L25" s="49">
        <v>0.0</v>
      </c>
      <c r="M25" s="600">
        <v>0.0</v>
      </c>
      <c r="N25" s="51">
        <f t="shared" si="9"/>
        <v>0</v>
      </c>
      <c r="O25" s="38"/>
      <c r="P25" s="29">
        <v>18.0</v>
      </c>
      <c r="Q25" s="30" t="s">
        <v>27</v>
      </c>
      <c r="R25" s="596">
        <f t="shared" si="7"/>
        <v>15660</v>
      </c>
      <c r="S25" s="596">
        <f t="shared" si="8"/>
        <v>15660</v>
      </c>
      <c r="T25" s="598">
        <f t="shared" si="5"/>
        <v>0</v>
      </c>
      <c r="U25" s="599">
        <f t="shared" si="6"/>
        <v>100</v>
      </c>
      <c r="V25" s="4"/>
      <c r="W25" s="4"/>
      <c r="X25" s="4"/>
      <c r="Y25" s="4"/>
      <c r="Z25" s="4"/>
    </row>
    <row r="26" ht="20.25" customHeight="1">
      <c r="A26" s="29">
        <v>19.0</v>
      </c>
      <c r="B26" s="30" t="s">
        <v>34</v>
      </c>
      <c r="C26" s="46">
        <v>1240.0</v>
      </c>
      <c r="D26" s="31">
        <v>1240.0</v>
      </c>
      <c r="E26" s="32">
        <f t="shared" si="1"/>
        <v>0</v>
      </c>
      <c r="F26" s="47">
        <v>1180.0</v>
      </c>
      <c r="G26" s="31">
        <v>1180.0</v>
      </c>
      <c r="H26" s="32">
        <f t="shared" si="2"/>
        <v>0</v>
      </c>
      <c r="I26" s="34">
        <v>1500.0</v>
      </c>
      <c r="J26" s="48">
        <f>1000+500</f>
        <v>1500</v>
      </c>
      <c r="K26" s="32">
        <f t="shared" si="3"/>
        <v>0</v>
      </c>
      <c r="L26" s="49">
        <v>0.0</v>
      </c>
      <c r="M26" s="600">
        <v>0.0</v>
      </c>
      <c r="N26" s="51">
        <f t="shared" si="9"/>
        <v>0</v>
      </c>
      <c r="O26" s="38"/>
      <c r="P26" s="29">
        <v>19.0</v>
      </c>
      <c r="Q26" s="30" t="s">
        <v>34</v>
      </c>
      <c r="R26" s="596">
        <f t="shared" si="7"/>
        <v>16160</v>
      </c>
      <c r="S26" s="596">
        <f t="shared" si="8"/>
        <v>16160</v>
      </c>
      <c r="T26" s="598">
        <f t="shared" si="5"/>
        <v>0</v>
      </c>
      <c r="U26" s="599">
        <f t="shared" si="6"/>
        <v>100</v>
      </c>
      <c r="V26" s="4"/>
      <c r="W26" s="4"/>
      <c r="X26" s="4"/>
      <c r="Y26" s="4"/>
      <c r="Z26" s="4"/>
    </row>
    <row r="27" ht="20.25" customHeight="1">
      <c r="A27" s="57" t="s">
        <v>36</v>
      </c>
      <c r="B27" s="21"/>
      <c r="C27" s="58">
        <f t="shared" ref="C27:M27" si="10">SUM(C8:C26)</f>
        <v>33610</v>
      </c>
      <c r="D27" s="58">
        <f t="shared" si="10"/>
        <v>33610</v>
      </c>
      <c r="E27" s="59">
        <f t="shared" si="10"/>
        <v>0</v>
      </c>
      <c r="F27" s="58">
        <f t="shared" si="10"/>
        <v>25145</v>
      </c>
      <c r="G27" s="58">
        <f t="shared" si="10"/>
        <v>25145</v>
      </c>
      <c r="H27" s="59">
        <f t="shared" si="10"/>
        <v>0</v>
      </c>
      <c r="I27" s="60">
        <f t="shared" si="10"/>
        <v>57000</v>
      </c>
      <c r="J27" s="61">
        <f t="shared" si="10"/>
        <v>57000</v>
      </c>
      <c r="K27" s="59">
        <f t="shared" si="10"/>
        <v>0</v>
      </c>
      <c r="L27" s="603">
        <f t="shared" si="10"/>
        <v>100000</v>
      </c>
      <c r="M27" s="603">
        <f t="shared" si="10"/>
        <v>99943.37</v>
      </c>
      <c r="N27" s="105">
        <f t="shared" si="9"/>
        <v>56.63</v>
      </c>
      <c r="O27" s="44"/>
      <c r="P27" s="57" t="s">
        <v>36</v>
      </c>
      <c r="Q27" s="21"/>
      <c r="R27" s="604">
        <f t="shared" ref="R27:S27" si="11">SUM(R8:R26)</f>
        <v>3173463.61</v>
      </c>
      <c r="S27" s="597">
        <f t="shared" si="11"/>
        <v>1856713.37</v>
      </c>
      <c r="T27" s="598">
        <f t="shared" si="5"/>
        <v>1316750.24</v>
      </c>
      <c r="U27" s="599">
        <f t="shared" si="6"/>
        <v>58.50747316</v>
      </c>
      <c r="V27" s="4"/>
      <c r="W27" s="4"/>
      <c r="X27" s="4"/>
      <c r="Y27" s="4"/>
      <c r="Z27" s="4"/>
    </row>
    <row r="28" ht="20.25" customHeight="1">
      <c r="A28" s="4"/>
      <c r="B28" s="4"/>
      <c r="C28" s="4"/>
      <c r="D28" s="4"/>
      <c r="E28" s="63"/>
      <c r="F28" s="4"/>
      <c r="G28" s="4"/>
      <c r="H28" s="63"/>
      <c r="I28" s="4"/>
      <c r="J28" s="4"/>
      <c r="K28" s="63"/>
      <c r="L28" s="4"/>
      <c r="M28" s="4"/>
      <c r="N28" s="6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4"/>
      <c r="C29" s="4"/>
      <c r="D29" s="4"/>
      <c r="E29" s="63"/>
      <c r="F29" s="4"/>
      <c r="G29" s="4"/>
      <c r="H29" s="63"/>
      <c r="I29" s="4"/>
      <c r="J29" s="4"/>
      <c r="K29" s="63"/>
      <c r="L29" s="4"/>
      <c r="M29" s="4"/>
      <c r="N29" s="6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605" t="s">
        <v>322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" t="s">
        <v>333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606" t="s">
        <v>4</v>
      </c>
      <c r="B32" s="606" t="s">
        <v>5</v>
      </c>
      <c r="C32" s="65" t="s">
        <v>37</v>
      </c>
      <c r="D32" s="7"/>
      <c r="E32" s="8"/>
      <c r="F32" s="9" t="s">
        <v>38</v>
      </c>
      <c r="G32" s="7"/>
      <c r="H32" s="8"/>
      <c r="I32" s="66" t="s">
        <v>39</v>
      </c>
      <c r="J32" s="7"/>
      <c r="K32" s="8"/>
      <c r="L32" s="65" t="s">
        <v>40</v>
      </c>
      <c r="M32" s="7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12"/>
      <c r="B33" s="12"/>
      <c r="E33" s="13"/>
      <c r="F33" s="14"/>
      <c r="G33" s="15"/>
      <c r="H33" s="16"/>
      <c r="I33" s="14"/>
      <c r="J33" s="15"/>
      <c r="K33" s="16"/>
      <c r="N33" s="1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12"/>
      <c r="B34" s="12"/>
      <c r="C34" s="592" t="s">
        <v>198</v>
      </c>
      <c r="D34" s="7"/>
      <c r="E34" s="8"/>
      <c r="F34" s="607" t="s">
        <v>199</v>
      </c>
      <c r="G34" s="7"/>
      <c r="H34" s="8"/>
      <c r="I34" s="592" t="s">
        <v>198</v>
      </c>
      <c r="J34" s="7"/>
      <c r="K34" s="8"/>
      <c r="L34" s="592" t="s">
        <v>198</v>
      </c>
      <c r="M34" s="7"/>
      <c r="N34" s="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22"/>
      <c r="B35" s="22"/>
      <c r="C35" s="608" t="s">
        <v>13</v>
      </c>
      <c r="D35" s="608" t="s">
        <v>14</v>
      </c>
      <c r="E35" s="609" t="s">
        <v>15</v>
      </c>
      <c r="F35" s="608" t="s">
        <v>13</v>
      </c>
      <c r="G35" s="608" t="s">
        <v>14</v>
      </c>
      <c r="H35" s="609" t="s">
        <v>15</v>
      </c>
      <c r="I35" s="608" t="s">
        <v>13</v>
      </c>
      <c r="J35" s="608" t="s">
        <v>14</v>
      </c>
      <c r="K35" s="609" t="s">
        <v>15</v>
      </c>
      <c r="L35" s="608" t="s">
        <v>13</v>
      </c>
      <c r="M35" s="608" t="s">
        <v>14</v>
      </c>
      <c r="N35" s="609" t="s">
        <v>15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92"/>
      <c r="B36" s="21"/>
      <c r="C36" s="610"/>
      <c r="D36" s="20"/>
      <c r="E36" s="21"/>
      <c r="F36" s="73"/>
      <c r="G36" s="20"/>
      <c r="H36" s="21"/>
      <c r="I36" s="73"/>
      <c r="J36" s="20"/>
      <c r="K36" s="20"/>
      <c r="L36" s="114"/>
      <c r="M36" s="20"/>
      <c r="N36" s="2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29">
        <v>1.0</v>
      </c>
      <c r="B37" s="30" t="s">
        <v>17</v>
      </c>
      <c r="C37" s="31">
        <f>22320</f>
        <v>22320</v>
      </c>
      <c r="D37" s="75">
        <f>240+1680+720</f>
        <v>2640</v>
      </c>
      <c r="E37" s="611">
        <f t="shared" ref="E37:E55" si="12">SUM(C37-D37)</f>
        <v>19680</v>
      </c>
      <c r="F37" s="95">
        <f>1778000+2660</f>
        <v>1780660</v>
      </c>
      <c r="G37" s="80">
        <f>152860+160800+5000+153380+172060+196560+142300</f>
        <v>982960</v>
      </c>
      <c r="H37" s="611">
        <f t="shared" ref="H37:H55" si="13">SUM(F37-G37)</f>
        <v>797700</v>
      </c>
      <c r="I37" s="76">
        <v>34975.0</v>
      </c>
      <c r="J37" s="612">
        <f>5500+13960+13960+1555</f>
        <v>34975</v>
      </c>
      <c r="K37" s="37">
        <f>SUM(I37-J37)</f>
        <v>0</v>
      </c>
      <c r="L37" s="613">
        <v>0.0</v>
      </c>
      <c r="M37" s="614"/>
      <c r="N37" s="615">
        <f t="shared" ref="N37:N55" si="14">SUM(L37-M37)</f>
        <v>0</v>
      </c>
      <c r="O37" s="616" t="s">
        <v>334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29">
        <v>2.0</v>
      </c>
      <c r="B38" s="45" t="s">
        <v>18</v>
      </c>
      <c r="C38" s="31">
        <v>19440.0</v>
      </c>
      <c r="D38" s="75">
        <f>6480+6480+6480</f>
        <v>19440</v>
      </c>
      <c r="E38" s="32">
        <f t="shared" si="12"/>
        <v>0</v>
      </c>
      <c r="F38" s="80">
        <v>0.0</v>
      </c>
      <c r="G38" s="80">
        <v>0.0</v>
      </c>
      <c r="H38" s="81">
        <f t="shared" si="13"/>
        <v>0</v>
      </c>
      <c r="I38" s="82"/>
      <c r="J38" s="83"/>
      <c r="K38" s="81"/>
      <c r="L38" s="80"/>
      <c r="M38" s="614"/>
      <c r="N38" s="615">
        <f t="shared" si="14"/>
        <v>0</v>
      </c>
      <c r="O38" s="103" t="s">
        <v>335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29">
        <v>3.0</v>
      </c>
      <c r="B39" s="30" t="s">
        <v>21</v>
      </c>
      <c r="C39" s="31">
        <v>15840.0</v>
      </c>
      <c r="D39" s="75">
        <f>5280+5280+5280</f>
        <v>15840</v>
      </c>
      <c r="E39" s="32">
        <f t="shared" si="12"/>
        <v>0</v>
      </c>
      <c r="F39" s="80">
        <v>0.0</v>
      </c>
      <c r="G39" s="80">
        <v>0.0</v>
      </c>
      <c r="H39" s="81">
        <f t="shared" si="13"/>
        <v>0</v>
      </c>
      <c r="I39" s="82"/>
      <c r="J39" s="83"/>
      <c r="K39" s="81"/>
      <c r="L39" s="80"/>
      <c r="M39" s="614"/>
      <c r="N39" s="615">
        <f t="shared" si="14"/>
        <v>0</v>
      </c>
      <c r="O39" s="103" t="s">
        <v>336</v>
      </c>
      <c r="P39" s="4"/>
      <c r="Q39" s="4"/>
      <c r="R39" s="4"/>
      <c r="S39" s="4"/>
      <c r="T39" s="4"/>
      <c r="U39" s="4"/>
      <c r="W39" s="4"/>
      <c r="X39" s="4"/>
      <c r="Y39" s="4"/>
      <c r="Z39" s="4"/>
    </row>
    <row r="40" ht="20.25" customHeight="1">
      <c r="A40" s="29">
        <v>4.0</v>
      </c>
      <c r="B40" s="601" t="s">
        <v>24</v>
      </c>
      <c r="C40" s="31">
        <v>12240.0</v>
      </c>
      <c r="D40" s="75">
        <f>4080+4080+4080</f>
        <v>12240</v>
      </c>
      <c r="E40" s="32">
        <f t="shared" si="12"/>
        <v>0</v>
      </c>
      <c r="F40" s="80">
        <v>0.0</v>
      </c>
      <c r="G40" s="80">
        <v>0.0</v>
      </c>
      <c r="H40" s="81">
        <f t="shared" si="13"/>
        <v>0</v>
      </c>
      <c r="I40" s="82"/>
      <c r="J40" s="83"/>
      <c r="K40" s="81"/>
      <c r="L40" s="80"/>
      <c r="M40" s="614"/>
      <c r="N40" s="615">
        <f t="shared" si="14"/>
        <v>0</v>
      </c>
      <c r="O40" s="103" t="s">
        <v>337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29">
        <v>5.0</v>
      </c>
      <c r="B41" s="601" t="s">
        <v>20</v>
      </c>
      <c r="C41" s="31">
        <v>23040.0</v>
      </c>
      <c r="D41" s="75">
        <f>7680+7680+7680</f>
        <v>23040</v>
      </c>
      <c r="E41" s="32">
        <f t="shared" si="12"/>
        <v>0</v>
      </c>
      <c r="F41" s="80">
        <v>0.0</v>
      </c>
      <c r="G41" s="80">
        <v>0.0</v>
      </c>
      <c r="H41" s="81">
        <f t="shared" si="13"/>
        <v>0</v>
      </c>
      <c r="I41" s="82"/>
      <c r="J41" s="83"/>
      <c r="K41" s="81"/>
      <c r="L41" s="80"/>
      <c r="M41" s="614"/>
      <c r="N41" s="615">
        <f t="shared" si="14"/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29">
        <v>6.0</v>
      </c>
      <c r="B42" s="601" t="s">
        <v>19</v>
      </c>
      <c r="C42" s="31">
        <v>26640.0</v>
      </c>
      <c r="D42" s="75">
        <f>7680+10080+7680</f>
        <v>25440</v>
      </c>
      <c r="E42" s="611">
        <f t="shared" si="12"/>
        <v>1200</v>
      </c>
      <c r="F42" s="80">
        <v>0.0</v>
      </c>
      <c r="G42" s="80">
        <v>0.0</v>
      </c>
      <c r="H42" s="81">
        <f t="shared" si="13"/>
        <v>0</v>
      </c>
      <c r="I42" s="82"/>
      <c r="J42" s="83"/>
      <c r="K42" s="81"/>
      <c r="L42" s="614"/>
      <c r="M42" s="614"/>
      <c r="N42" s="615">
        <f t="shared" si="14"/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customHeight="1">
      <c r="A43" s="29">
        <v>7.0</v>
      </c>
      <c r="B43" s="601" t="s">
        <v>23</v>
      </c>
      <c r="C43" s="31">
        <v>15840.0</v>
      </c>
      <c r="D43" s="75">
        <f>5280+5280+5280</f>
        <v>15840</v>
      </c>
      <c r="E43" s="32">
        <f t="shared" si="12"/>
        <v>0</v>
      </c>
      <c r="F43" s="80">
        <v>0.0</v>
      </c>
      <c r="G43" s="80">
        <v>0.0</v>
      </c>
      <c r="H43" s="81">
        <f t="shared" si="13"/>
        <v>0</v>
      </c>
      <c r="I43" s="82"/>
      <c r="J43" s="83"/>
      <c r="K43" s="81"/>
      <c r="L43" s="614"/>
      <c r="M43" s="614"/>
      <c r="N43" s="615">
        <f t="shared" si="14"/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customHeight="1">
      <c r="A44" s="29">
        <v>8.0</v>
      </c>
      <c r="B44" s="601" t="s">
        <v>26</v>
      </c>
      <c r="C44" s="31">
        <v>12240.0</v>
      </c>
      <c r="D44" s="75">
        <f>3600+3600+4560</f>
        <v>11760</v>
      </c>
      <c r="E44" s="611">
        <f t="shared" si="12"/>
        <v>480</v>
      </c>
      <c r="F44" s="80">
        <v>0.0</v>
      </c>
      <c r="G44" s="80">
        <v>0.0</v>
      </c>
      <c r="H44" s="81">
        <f t="shared" si="13"/>
        <v>0</v>
      </c>
      <c r="I44" s="82"/>
      <c r="J44" s="83"/>
      <c r="K44" s="81"/>
      <c r="L44" s="80"/>
      <c r="M44" s="614"/>
      <c r="N44" s="615">
        <f t="shared" si="14"/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29">
        <v>9.0</v>
      </c>
      <c r="B45" s="601" t="s">
        <v>338</v>
      </c>
      <c r="C45" s="31">
        <v>8640.0</v>
      </c>
      <c r="D45" s="75">
        <f>2880+2880+2880</f>
        <v>8640</v>
      </c>
      <c r="E45" s="32">
        <f t="shared" si="12"/>
        <v>0</v>
      </c>
      <c r="F45" s="80">
        <v>0.0</v>
      </c>
      <c r="G45" s="80">
        <v>0.0</v>
      </c>
      <c r="H45" s="81">
        <f t="shared" si="13"/>
        <v>0</v>
      </c>
      <c r="I45" s="82"/>
      <c r="J45" s="83"/>
      <c r="K45" s="81"/>
      <c r="L45" s="80"/>
      <c r="M45" s="614"/>
      <c r="N45" s="615">
        <f t="shared" si="14"/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29">
        <v>10.0</v>
      </c>
      <c r="B46" s="601" t="s">
        <v>22</v>
      </c>
      <c r="C46" s="617">
        <v>19440.0</v>
      </c>
      <c r="D46" s="618">
        <f>6480+6480+6480</f>
        <v>19440</v>
      </c>
      <c r="E46" s="619">
        <f t="shared" si="12"/>
        <v>0</v>
      </c>
      <c r="F46" s="80">
        <v>0.0</v>
      </c>
      <c r="G46" s="80">
        <v>0.0</v>
      </c>
      <c r="H46" s="81">
        <f t="shared" si="13"/>
        <v>0</v>
      </c>
      <c r="I46" s="82"/>
      <c r="J46" s="83"/>
      <c r="K46" s="81"/>
      <c r="L46" s="614"/>
      <c r="M46" s="614"/>
      <c r="N46" s="615">
        <f t="shared" si="14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29">
        <v>11.0</v>
      </c>
      <c r="B47" s="601" t="s">
        <v>25</v>
      </c>
      <c r="C47" s="617">
        <v>12240.0</v>
      </c>
      <c r="D47" s="618">
        <f>4080+4080+4080</f>
        <v>12240</v>
      </c>
      <c r="E47" s="619">
        <f t="shared" si="12"/>
        <v>0</v>
      </c>
      <c r="F47" s="80">
        <v>0.0</v>
      </c>
      <c r="G47" s="80">
        <v>0.0</v>
      </c>
      <c r="H47" s="81">
        <f t="shared" si="13"/>
        <v>0</v>
      </c>
      <c r="I47" s="82"/>
      <c r="J47" s="83"/>
      <c r="K47" s="81"/>
      <c r="L47" s="80"/>
      <c r="M47" s="614"/>
      <c r="N47" s="615">
        <f t="shared" si="14"/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29">
        <v>12.0</v>
      </c>
      <c r="B48" s="601" t="s">
        <v>32</v>
      </c>
      <c r="C48" s="617">
        <v>8640.0</v>
      </c>
      <c r="D48" s="618">
        <f t="shared" ref="D48:D51" si="15">2880+2880+2880</f>
        <v>8640</v>
      </c>
      <c r="E48" s="619">
        <f t="shared" si="12"/>
        <v>0</v>
      </c>
      <c r="F48" s="80">
        <v>0.0</v>
      </c>
      <c r="G48" s="80">
        <v>0.0</v>
      </c>
      <c r="H48" s="81">
        <f t="shared" si="13"/>
        <v>0</v>
      </c>
      <c r="I48" s="82"/>
      <c r="J48" s="83"/>
      <c r="K48" s="81"/>
      <c r="L48" s="80"/>
      <c r="M48" s="614"/>
      <c r="N48" s="615">
        <f t="shared" si="14"/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29">
        <v>13.0</v>
      </c>
      <c r="B49" s="601" t="s">
        <v>31</v>
      </c>
      <c r="C49" s="617">
        <v>8640.0</v>
      </c>
      <c r="D49" s="618">
        <f t="shared" si="15"/>
        <v>8640</v>
      </c>
      <c r="E49" s="619">
        <f t="shared" si="12"/>
        <v>0</v>
      </c>
      <c r="F49" s="80">
        <v>0.0</v>
      </c>
      <c r="G49" s="80">
        <v>0.0</v>
      </c>
      <c r="H49" s="81">
        <f t="shared" si="13"/>
        <v>0</v>
      </c>
      <c r="I49" s="82"/>
      <c r="J49" s="83"/>
      <c r="K49" s="81"/>
      <c r="L49" s="80"/>
      <c r="M49" s="614"/>
      <c r="N49" s="615">
        <f t="shared" si="14"/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29">
        <v>14.0</v>
      </c>
      <c r="B50" s="601" t="s">
        <v>35</v>
      </c>
      <c r="C50" s="617">
        <v>8640.0</v>
      </c>
      <c r="D50" s="618">
        <f t="shared" si="15"/>
        <v>8640</v>
      </c>
      <c r="E50" s="619">
        <f t="shared" si="12"/>
        <v>0</v>
      </c>
      <c r="F50" s="80">
        <v>0.0</v>
      </c>
      <c r="G50" s="80">
        <v>0.0</v>
      </c>
      <c r="H50" s="81">
        <f t="shared" si="13"/>
        <v>0</v>
      </c>
      <c r="I50" s="82"/>
      <c r="J50" s="83"/>
      <c r="K50" s="81"/>
      <c r="L50" s="80"/>
      <c r="M50" s="614"/>
      <c r="N50" s="615">
        <f t="shared" si="14"/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29">
        <v>15.0</v>
      </c>
      <c r="B51" s="602" t="s">
        <v>29</v>
      </c>
      <c r="C51" s="617">
        <v>8640.0</v>
      </c>
      <c r="D51" s="618">
        <f t="shared" si="15"/>
        <v>8640</v>
      </c>
      <c r="E51" s="619">
        <f t="shared" si="12"/>
        <v>0</v>
      </c>
      <c r="F51" s="80">
        <v>0.0</v>
      </c>
      <c r="G51" s="80">
        <v>0.0</v>
      </c>
      <c r="H51" s="81">
        <f t="shared" si="13"/>
        <v>0</v>
      </c>
      <c r="I51" s="82"/>
      <c r="J51" s="83"/>
      <c r="K51" s="81"/>
      <c r="L51" s="80"/>
      <c r="M51" s="614"/>
      <c r="N51" s="615">
        <f t="shared" si="14"/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29">
        <v>16.0</v>
      </c>
      <c r="B52" s="601" t="s">
        <v>33</v>
      </c>
      <c r="C52" s="617">
        <v>12240.0</v>
      </c>
      <c r="D52" s="618">
        <f t="shared" ref="D52:D55" si="16">4080+4080+4080</f>
        <v>12240</v>
      </c>
      <c r="E52" s="619">
        <f t="shared" si="12"/>
        <v>0</v>
      </c>
      <c r="F52" s="80">
        <v>0.0</v>
      </c>
      <c r="G52" s="80">
        <v>0.0</v>
      </c>
      <c r="H52" s="81">
        <f t="shared" si="13"/>
        <v>0</v>
      </c>
      <c r="I52" s="82"/>
      <c r="J52" s="83"/>
      <c r="K52" s="81"/>
      <c r="L52" s="614"/>
      <c r="M52" s="614"/>
      <c r="N52" s="615">
        <f t="shared" si="14"/>
        <v>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29">
        <v>17.0</v>
      </c>
      <c r="B53" s="601" t="s">
        <v>27</v>
      </c>
      <c r="C53" s="617">
        <v>12240.0</v>
      </c>
      <c r="D53" s="618">
        <f t="shared" si="16"/>
        <v>12240</v>
      </c>
      <c r="E53" s="619">
        <f t="shared" si="12"/>
        <v>0</v>
      </c>
      <c r="F53" s="80">
        <v>0.0</v>
      </c>
      <c r="G53" s="80">
        <v>0.0</v>
      </c>
      <c r="H53" s="81">
        <f t="shared" si="13"/>
        <v>0</v>
      </c>
      <c r="I53" s="82"/>
      <c r="J53" s="83"/>
      <c r="K53" s="81"/>
      <c r="L53" s="80"/>
      <c r="M53" s="614"/>
      <c r="N53" s="615">
        <f t="shared" si="14"/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29">
        <v>18.0</v>
      </c>
      <c r="B54" s="601" t="s">
        <v>28</v>
      </c>
      <c r="C54" s="617">
        <v>12240.0</v>
      </c>
      <c r="D54" s="618">
        <f t="shared" si="16"/>
        <v>12240</v>
      </c>
      <c r="E54" s="619">
        <f t="shared" si="12"/>
        <v>0</v>
      </c>
      <c r="F54" s="80">
        <v>0.0</v>
      </c>
      <c r="G54" s="80">
        <v>0.0</v>
      </c>
      <c r="H54" s="81">
        <f t="shared" si="13"/>
        <v>0</v>
      </c>
      <c r="I54" s="82"/>
      <c r="J54" s="83"/>
      <c r="K54" s="81"/>
      <c r="L54" s="80"/>
      <c r="M54" s="614"/>
      <c r="N54" s="615">
        <f t="shared" si="14"/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29">
        <v>19.0</v>
      </c>
      <c r="B55" s="30" t="s">
        <v>34</v>
      </c>
      <c r="C55" s="617">
        <v>12240.0</v>
      </c>
      <c r="D55" s="618">
        <f t="shared" si="16"/>
        <v>12240</v>
      </c>
      <c r="E55" s="619">
        <f t="shared" si="12"/>
        <v>0</v>
      </c>
      <c r="F55" s="80">
        <v>0.0</v>
      </c>
      <c r="G55" s="80">
        <v>0.0</v>
      </c>
      <c r="H55" s="81">
        <f t="shared" si="13"/>
        <v>0</v>
      </c>
      <c r="I55" s="82"/>
      <c r="J55" s="83"/>
      <c r="K55" s="81"/>
      <c r="L55" s="80"/>
      <c r="M55" s="614"/>
      <c r="N55" s="615">
        <f t="shared" si="14"/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57" t="s">
        <v>36</v>
      </c>
      <c r="B56" s="21"/>
      <c r="C56" s="58">
        <f t="shared" ref="C56:N56" si="17">SUM(C37:C55)</f>
        <v>271440</v>
      </c>
      <c r="D56" s="58">
        <f t="shared" si="17"/>
        <v>250080</v>
      </c>
      <c r="E56" s="620">
        <f t="shared" si="17"/>
        <v>21360</v>
      </c>
      <c r="F56" s="60">
        <f t="shared" si="17"/>
        <v>1780660</v>
      </c>
      <c r="G56" s="60">
        <f t="shared" si="17"/>
        <v>982960</v>
      </c>
      <c r="H56" s="620">
        <f t="shared" si="17"/>
        <v>797700</v>
      </c>
      <c r="I56" s="60">
        <f t="shared" si="17"/>
        <v>34975</v>
      </c>
      <c r="J56" s="60">
        <f t="shared" si="17"/>
        <v>34975</v>
      </c>
      <c r="K56" s="88">
        <f t="shared" si="17"/>
        <v>0</v>
      </c>
      <c r="L56" s="603">
        <f t="shared" si="17"/>
        <v>0</v>
      </c>
      <c r="M56" s="621">
        <f t="shared" si="17"/>
        <v>0</v>
      </c>
      <c r="N56" s="622">
        <f t="shared" si="17"/>
        <v>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4"/>
      <c r="B57" s="4"/>
      <c r="C57" s="4"/>
      <c r="D57" s="4"/>
      <c r="E57" s="63"/>
      <c r="F57" s="4"/>
      <c r="G57" s="4"/>
      <c r="H57" s="63"/>
      <c r="I57" s="4"/>
      <c r="J57" s="4"/>
      <c r="K57" s="63"/>
      <c r="L57" s="4"/>
      <c r="M57" s="4"/>
      <c r="N57" s="6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4"/>
      <c r="B58" s="4"/>
      <c r="C58" s="4"/>
      <c r="D58" s="4"/>
      <c r="E58" s="63"/>
      <c r="F58" s="4"/>
      <c r="G58" s="4"/>
      <c r="H58" s="63"/>
      <c r="I58" s="4"/>
      <c r="J58" s="4"/>
      <c r="K58" s="63"/>
      <c r="L58" s="4"/>
      <c r="M58" s="4"/>
      <c r="N58" s="6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623" t="s">
        <v>322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1" t="s">
        <v>333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5" t="s">
        <v>4</v>
      </c>
      <c r="B61" s="5" t="s">
        <v>5</v>
      </c>
      <c r="C61" s="89" t="s">
        <v>339</v>
      </c>
      <c r="D61" s="7"/>
      <c r="E61" s="8"/>
      <c r="F61" s="9" t="s">
        <v>55</v>
      </c>
      <c r="G61" s="7"/>
      <c r="H61" s="8"/>
      <c r="I61" s="9" t="s">
        <v>56</v>
      </c>
      <c r="J61" s="7"/>
      <c r="K61" s="8"/>
      <c r="L61" s="66" t="s">
        <v>57</v>
      </c>
      <c r="M61" s="7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12"/>
      <c r="B62" s="12"/>
      <c r="C62" s="14"/>
      <c r="D62" s="15"/>
      <c r="E62" s="16"/>
      <c r="F62" s="14"/>
      <c r="G62" s="15"/>
      <c r="H62" s="16"/>
      <c r="I62" s="14"/>
      <c r="J62" s="15"/>
      <c r="K62" s="16"/>
      <c r="L62" s="14"/>
      <c r="M62" s="15"/>
      <c r="N62" s="1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12"/>
      <c r="B63" s="12"/>
      <c r="C63" s="592" t="s">
        <v>198</v>
      </c>
      <c r="D63" s="7"/>
      <c r="E63" s="8"/>
      <c r="F63" s="17" t="s">
        <v>199</v>
      </c>
      <c r="G63" s="7"/>
      <c r="H63" s="8"/>
      <c r="I63" s="592" t="s">
        <v>198</v>
      </c>
      <c r="J63" s="7"/>
      <c r="K63" s="8"/>
      <c r="L63" s="17" t="s">
        <v>199</v>
      </c>
      <c r="M63" s="7"/>
      <c r="N63" s="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22"/>
      <c r="B64" s="22"/>
      <c r="C64" s="23" t="s">
        <v>13</v>
      </c>
      <c r="D64" s="23" t="s">
        <v>14</v>
      </c>
      <c r="E64" s="24" t="s">
        <v>15</v>
      </c>
      <c r="F64" s="23" t="s">
        <v>13</v>
      </c>
      <c r="G64" s="23" t="s">
        <v>14</v>
      </c>
      <c r="H64" s="24" t="s">
        <v>15</v>
      </c>
      <c r="I64" s="23" t="s">
        <v>13</v>
      </c>
      <c r="J64" s="23" t="s">
        <v>14</v>
      </c>
      <c r="K64" s="24" t="s">
        <v>15</v>
      </c>
      <c r="L64" s="23" t="s">
        <v>13</v>
      </c>
      <c r="M64" s="23" t="s">
        <v>14</v>
      </c>
      <c r="N64" s="24" t="s">
        <v>15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92"/>
      <c r="B65" s="21"/>
      <c r="C65" s="73"/>
      <c r="D65" s="20"/>
      <c r="E65" s="21"/>
      <c r="F65" s="73"/>
      <c r="G65" s="20"/>
      <c r="H65" s="21"/>
      <c r="I65" s="73"/>
      <c r="J65" s="20"/>
      <c r="K65" s="20"/>
      <c r="L65" s="73"/>
      <c r="M65" s="20"/>
      <c r="N65" s="2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29">
        <v>1.0</v>
      </c>
      <c r="B66" s="30" t="s">
        <v>17</v>
      </c>
      <c r="C66" s="76">
        <v>30000.0</v>
      </c>
      <c r="D66" s="624">
        <f>10000+10000+10000</f>
        <v>30000</v>
      </c>
      <c r="E66" s="94">
        <f>SUM(C66-D66)</f>
        <v>0</v>
      </c>
      <c r="F66" s="76">
        <v>285000.0</v>
      </c>
      <c r="G66" s="612">
        <f>45000+45000+45000</f>
        <v>135000</v>
      </c>
      <c r="H66" s="105">
        <f>SUM(F66-G66)</f>
        <v>150000</v>
      </c>
      <c r="I66" s="95">
        <v>84000.0</v>
      </c>
      <c r="J66" s="95">
        <f>28000+28000+28000</f>
        <v>84000</v>
      </c>
      <c r="K66" s="32">
        <f>SUM(I66-J66)</f>
        <v>0</v>
      </c>
      <c r="L66" s="76">
        <v>248000.0</v>
      </c>
      <c r="M66" s="95">
        <v>124000.0</v>
      </c>
      <c r="N66" s="611">
        <f>SUM(L66-M66)</f>
        <v>124000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29">
        <v>2.0</v>
      </c>
      <c r="B67" s="45"/>
      <c r="C67" s="96">
        <v>0.0</v>
      </c>
      <c r="D67" s="96">
        <v>0.0</v>
      </c>
      <c r="E67" s="97">
        <v>0.0</v>
      </c>
      <c r="F67" s="96">
        <v>0.0</v>
      </c>
      <c r="G67" s="96">
        <v>0.0</v>
      </c>
      <c r="H67" s="97">
        <v>0.0</v>
      </c>
      <c r="I67" s="96">
        <v>0.0</v>
      </c>
      <c r="J67" s="96">
        <v>0.0</v>
      </c>
      <c r="K67" s="97">
        <v>0.0</v>
      </c>
      <c r="L67" s="96">
        <v>0.0</v>
      </c>
      <c r="M67" s="96">
        <v>0.0</v>
      </c>
      <c r="N67" s="97">
        <v>0.0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29">
        <v>3.0</v>
      </c>
      <c r="B68" s="30"/>
      <c r="C68" s="96">
        <v>0.0</v>
      </c>
      <c r="D68" s="96">
        <v>0.0</v>
      </c>
      <c r="E68" s="97">
        <v>0.0</v>
      </c>
      <c r="F68" s="96">
        <v>0.0</v>
      </c>
      <c r="G68" s="96">
        <v>0.0</v>
      </c>
      <c r="H68" s="97">
        <v>0.0</v>
      </c>
      <c r="I68" s="96">
        <v>0.0</v>
      </c>
      <c r="J68" s="96">
        <v>0.0</v>
      </c>
      <c r="K68" s="97">
        <v>0.0</v>
      </c>
      <c r="L68" s="96">
        <v>0.0</v>
      </c>
      <c r="M68" s="96">
        <v>0.0</v>
      </c>
      <c r="N68" s="97">
        <v>0.0</v>
      </c>
      <c r="O68" s="4"/>
      <c r="P68" s="4"/>
      <c r="Q68" s="625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29">
        <v>4.0</v>
      </c>
      <c r="B69" s="30"/>
      <c r="C69" s="96">
        <v>0.0</v>
      </c>
      <c r="D69" s="96">
        <v>0.0</v>
      </c>
      <c r="E69" s="97">
        <v>0.0</v>
      </c>
      <c r="F69" s="96">
        <v>0.0</v>
      </c>
      <c r="G69" s="96">
        <v>0.0</v>
      </c>
      <c r="H69" s="97">
        <v>0.0</v>
      </c>
      <c r="I69" s="96">
        <v>0.0</v>
      </c>
      <c r="J69" s="96">
        <v>0.0</v>
      </c>
      <c r="K69" s="97">
        <v>0.0</v>
      </c>
      <c r="L69" s="96">
        <v>0.0</v>
      </c>
      <c r="M69" s="96">
        <v>0.0</v>
      </c>
      <c r="N69" s="97">
        <v>0.0</v>
      </c>
      <c r="O69" s="4"/>
      <c r="P69" s="4"/>
      <c r="Q69" s="625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29">
        <v>5.0</v>
      </c>
      <c r="B70" s="30"/>
      <c r="C70" s="96">
        <v>0.0</v>
      </c>
      <c r="D70" s="96">
        <v>0.0</v>
      </c>
      <c r="E70" s="97">
        <v>0.0</v>
      </c>
      <c r="F70" s="96">
        <v>0.0</v>
      </c>
      <c r="G70" s="96">
        <v>0.0</v>
      </c>
      <c r="H70" s="97">
        <v>0.0</v>
      </c>
      <c r="I70" s="96">
        <v>0.0</v>
      </c>
      <c r="J70" s="96">
        <v>0.0</v>
      </c>
      <c r="K70" s="97">
        <v>0.0</v>
      </c>
      <c r="L70" s="96">
        <v>0.0</v>
      </c>
      <c r="M70" s="96">
        <v>0.0</v>
      </c>
      <c r="N70" s="97">
        <v>0.0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29">
        <v>6.0</v>
      </c>
      <c r="B71" s="30"/>
      <c r="C71" s="96">
        <v>0.0</v>
      </c>
      <c r="D71" s="96">
        <v>0.0</v>
      </c>
      <c r="E71" s="97">
        <v>0.0</v>
      </c>
      <c r="F71" s="96">
        <v>0.0</v>
      </c>
      <c r="G71" s="96">
        <v>0.0</v>
      </c>
      <c r="H71" s="97">
        <v>0.0</v>
      </c>
      <c r="I71" s="96">
        <v>0.0</v>
      </c>
      <c r="J71" s="96">
        <v>0.0</v>
      </c>
      <c r="K71" s="97">
        <v>0.0</v>
      </c>
      <c r="L71" s="96">
        <v>0.0</v>
      </c>
      <c r="M71" s="96">
        <v>0.0</v>
      </c>
      <c r="N71" s="97">
        <v>0.0</v>
      </c>
      <c r="O71" s="4"/>
      <c r="P71" s="4"/>
      <c r="Q71" s="4"/>
      <c r="R71" s="626"/>
      <c r="S71" s="4"/>
      <c r="T71" s="4"/>
      <c r="U71" s="4"/>
      <c r="V71" s="4"/>
      <c r="W71" s="4"/>
      <c r="X71" s="4"/>
      <c r="Y71" s="4"/>
      <c r="Z71" s="4"/>
    </row>
    <row r="72" ht="20.25" customHeight="1">
      <c r="A72" s="29">
        <v>7.0</v>
      </c>
      <c r="B72" s="30"/>
      <c r="C72" s="96">
        <v>0.0</v>
      </c>
      <c r="D72" s="96">
        <v>0.0</v>
      </c>
      <c r="E72" s="97">
        <v>0.0</v>
      </c>
      <c r="F72" s="96">
        <v>0.0</v>
      </c>
      <c r="G72" s="96">
        <v>0.0</v>
      </c>
      <c r="H72" s="97">
        <v>0.0</v>
      </c>
      <c r="I72" s="96">
        <v>0.0</v>
      </c>
      <c r="J72" s="96">
        <v>0.0</v>
      </c>
      <c r="K72" s="97">
        <v>0.0</v>
      </c>
      <c r="L72" s="96">
        <v>0.0</v>
      </c>
      <c r="M72" s="96">
        <v>0.0</v>
      </c>
      <c r="N72" s="97">
        <v>0.0</v>
      </c>
      <c r="O72" s="4"/>
      <c r="P72" s="4"/>
      <c r="Q72" s="4"/>
      <c r="R72" s="626"/>
      <c r="S72" s="4"/>
      <c r="T72" s="4"/>
      <c r="U72" s="4"/>
      <c r="V72" s="4"/>
      <c r="W72" s="4"/>
      <c r="X72" s="4"/>
      <c r="Y72" s="4"/>
      <c r="Z72" s="4"/>
    </row>
    <row r="73" ht="20.25" customHeight="1">
      <c r="A73" s="29">
        <v>8.0</v>
      </c>
      <c r="B73" s="30"/>
      <c r="C73" s="96">
        <v>0.0</v>
      </c>
      <c r="D73" s="96">
        <v>0.0</v>
      </c>
      <c r="E73" s="97">
        <v>0.0</v>
      </c>
      <c r="F73" s="96">
        <v>0.0</v>
      </c>
      <c r="G73" s="96">
        <v>0.0</v>
      </c>
      <c r="H73" s="97">
        <v>0.0</v>
      </c>
      <c r="I73" s="96">
        <v>0.0</v>
      </c>
      <c r="J73" s="96">
        <v>0.0</v>
      </c>
      <c r="K73" s="97">
        <v>0.0</v>
      </c>
      <c r="L73" s="96">
        <v>0.0</v>
      </c>
      <c r="M73" s="96">
        <v>0.0</v>
      </c>
      <c r="N73" s="97">
        <v>0.0</v>
      </c>
      <c r="O73" s="4"/>
      <c r="P73" s="4"/>
      <c r="Q73" s="4"/>
      <c r="R73" s="626"/>
      <c r="S73" s="4"/>
      <c r="T73" s="4"/>
      <c r="U73" s="4"/>
      <c r="V73" s="4"/>
      <c r="W73" s="4"/>
      <c r="X73" s="4"/>
      <c r="Y73" s="4"/>
      <c r="Z73" s="4"/>
    </row>
    <row r="74" ht="20.25" customHeight="1">
      <c r="A74" s="29">
        <v>9.0</v>
      </c>
      <c r="B74" s="30"/>
      <c r="C74" s="96">
        <v>0.0</v>
      </c>
      <c r="D74" s="96">
        <v>0.0</v>
      </c>
      <c r="E74" s="97">
        <v>0.0</v>
      </c>
      <c r="F74" s="96">
        <v>0.0</v>
      </c>
      <c r="G74" s="96">
        <v>0.0</v>
      </c>
      <c r="H74" s="97">
        <v>0.0</v>
      </c>
      <c r="I74" s="96">
        <v>0.0</v>
      </c>
      <c r="J74" s="96">
        <v>0.0</v>
      </c>
      <c r="K74" s="97">
        <v>0.0</v>
      </c>
      <c r="L74" s="96">
        <v>0.0</v>
      </c>
      <c r="M74" s="96">
        <v>0.0</v>
      </c>
      <c r="N74" s="97">
        <v>0.0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0.25" customHeight="1">
      <c r="A75" s="29">
        <v>10.0</v>
      </c>
      <c r="B75" s="30"/>
      <c r="C75" s="96">
        <v>0.0</v>
      </c>
      <c r="D75" s="96">
        <v>0.0</v>
      </c>
      <c r="E75" s="97">
        <v>0.0</v>
      </c>
      <c r="F75" s="96">
        <v>0.0</v>
      </c>
      <c r="G75" s="96">
        <v>0.0</v>
      </c>
      <c r="H75" s="97">
        <v>0.0</v>
      </c>
      <c r="I75" s="96">
        <v>0.0</v>
      </c>
      <c r="J75" s="96">
        <v>0.0</v>
      </c>
      <c r="K75" s="97">
        <v>0.0</v>
      </c>
      <c r="L75" s="96">
        <v>0.0</v>
      </c>
      <c r="M75" s="96">
        <v>0.0</v>
      </c>
      <c r="N75" s="97">
        <v>0.0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29">
        <v>11.0</v>
      </c>
      <c r="B76" s="30"/>
      <c r="C76" s="96">
        <v>0.0</v>
      </c>
      <c r="D76" s="96">
        <v>0.0</v>
      </c>
      <c r="E76" s="97">
        <v>0.0</v>
      </c>
      <c r="F76" s="96">
        <v>0.0</v>
      </c>
      <c r="G76" s="96">
        <v>0.0</v>
      </c>
      <c r="H76" s="97">
        <v>0.0</v>
      </c>
      <c r="I76" s="96">
        <v>0.0</v>
      </c>
      <c r="J76" s="96">
        <v>0.0</v>
      </c>
      <c r="K76" s="97">
        <v>0.0</v>
      </c>
      <c r="L76" s="96">
        <v>0.0</v>
      </c>
      <c r="M76" s="96">
        <v>0.0</v>
      </c>
      <c r="N76" s="97">
        <v>0.0</v>
      </c>
      <c r="O76" s="4"/>
      <c r="P76" s="4"/>
      <c r="Q76" s="4"/>
      <c r="R76" s="626"/>
      <c r="S76" s="4"/>
      <c r="T76" s="4"/>
      <c r="U76" s="4"/>
      <c r="V76" s="4"/>
      <c r="W76" s="4"/>
      <c r="X76" s="4"/>
      <c r="Y76" s="4"/>
      <c r="Z76" s="4"/>
    </row>
    <row r="77" ht="20.25" customHeight="1">
      <c r="A77" s="29">
        <v>12.0</v>
      </c>
      <c r="B77" s="30"/>
      <c r="C77" s="96">
        <v>0.0</v>
      </c>
      <c r="D77" s="96">
        <v>0.0</v>
      </c>
      <c r="E77" s="97">
        <v>0.0</v>
      </c>
      <c r="F77" s="96">
        <v>0.0</v>
      </c>
      <c r="G77" s="96">
        <v>0.0</v>
      </c>
      <c r="H77" s="97">
        <v>0.0</v>
      </c>
      <c r="I77" s="96">
        <v>0.0</v>
      </c>
      <c r="J77" s="96">
        <v>0.0</v>
      </c>
      <c r="K77" s="97">
        <v>0.0</v>
      </c>
      <c r="L77" s="96">
        <v>0.0</v>
      </c>
      <c r="M77" s="96">
        <v>0.0</v>
      </c>
      <c r="N77" s="97">
        <v>0.0</v>
      </c>
      <c r="O77" s="4"/>
      <c r="P77" s="4"/>
      <c r="Q77" s="4"/>
      <c r="R77" s="626"/>
      <c r="S77" s="4"/>
      <c r="T77" s="4"/>
      <c r="U77" s="4"/>
      <c r="V77" s="4"/>
      <c r="W77" s="4"/>
      <c r="X77" s="4"/>
      <c r="Y77" s="4"/>
      <c r="Z77" s="4"/>
    </row>
    <row r="78" ht="20.25" customHeight="1">
      <c r="A78" s="29">
        <v>13.0</v>
      </c>
      <c r="B78" s="30"/>
      <c r="C78" s="96">
        <v>0.0</v>
      </c>
      <c r="D78" s="96">
        <v>0.0</v>
      </c>
      <c r="E78" s="97">
        <v>0.0</v>
      </c>
      <c r="F78" s="96">
        <v>0.0</v>
      </c>
      <c r="G78" s="96">
        <v>0.0</v>
      </c>
      <c r="H78" s="97">
        <v>0.0</v>
      </c>
      <c r="I78" s="96">
        <v>0.0</v>
      </c>
      <c r="J78" s="96">
        <v>0.0</v>
      </c>
      <c r="K78" s="97">
        <v>0.0</v>
      </c>
      <c r="L78" s="96">
        <v>0.0</v>
      </c>
      <c r="M78" s="96">
        <v>0.0</v>
      </c>
      <c r="N78" s="97">
        <v>0.0</v>
      </c>
      <c r="O78" s="4"/>
      <c r="P78" s="4"/>
      <c r="Q78" s="4"/>
      <c r="R78" s="626"/>
      <c r="S78" s="4"/>
      <c r="T78" s="4"/>
      <c r="U78" s="4"/>
      <c r="V78" s="4"/>
      <c r="W78" s="4"/>
      <c r="X78" s="4"/>
      <c r="Y78" s="4"/>
      <c r="Z78" s="4"/>
    </row>
    <row r="79" ht="20.25" customHeight="1">
      <c r="A79" s="29">
        <v>14.0</v>
      </c>
      <c r="B79" s="30"/>
      <c r="C79" s="96">
        <v>0.0</v>
      </c>
      <c r="D79" s="96">
        <v>0.0</v>
      </c>
      <c r="E79" s="97">
        <v>0.0</v>
      </c>
      <c r="F79" s="96">
        <v>0.0</v>
      </c>
      <c r="G79" s="96">
        <v>0.0</v>
      </c>
      <c r="H79" s="97">
        <v>0.0</v>
      </c>
      <c r="I79" s="96">
        <v>0.0</v>
      </c>
      <c r="J79" s="96">
        <v>0.0</v>
      </c>
      <c r="K79" s="97">
        <v>0.0</v>
      </c>
      <c r="L79" s="96">
        <v>0.0</v>
      </c>
      <c r="M79" s="96">
        <v>0.0</v>
      </c>
      <c r="N79" s="97">
        <v>0.0</v>
      </c>
      <c r="O79" s="4"/>
      <c r="P79" s="4"/>
      <c r="Q79" s="4"/>
      <c r="R79" s="626"/>
      <c r="S79" s="4"/>
      <c r="T79" s="4"/>
      <c r="U79" s="4"/>
      <c r="V79" s="4"/>
      <c r="W79" s="4"/>
      <c r="X79" s="4"/>
      <c r="Y79" s="4"/>
      <c r="Z79" s="4"/>
    </row>
    <row r="80" ht="20.25" customHeight="1">
      <c r="A80" s="29">
        <v>15.0</v>
      </c>
      <c r="B80" s="55"/>
      <c r="C80" s="96">
        <v>0.0</v>
      </c>
      <c r="D80" s="96">
        <v>0.0</v>
      </c>
      <c r="E80" s="97">
        <v>0.0</v>
      </c>
      <c r="F80" s="96">
        <v>0.0</v>
      </c>
      <c r="G80" s="96">
        <v>0.0</v>
      </c>
      <c r="H80" s="97">
        <v>0.0</v>
      </c>
      <c r="I80" s="96">
        <v>0.0</v>
      </c>
      <c r="J80" s="96">
        <v>0.0</v>
      </c>
      <c r="K80" s="97">
        <v>0.0</v>
      </c>
      <c r="L80" s="96">
        <v>0.0</v>
      </c>
      <c r="M80" s="96">
        <v>0.0</v>
      </c>
      <c r="N80" s="97">
        <v>0.0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0.25" customHeight="1">
      <c r="A81" s="29">
        <v>16.0</v>
      </c>
      <c r="B81" s="30"/>
      <c r="C81" s="96">
        <v>0.0</v>
      </c>
      <c r="D81" s="96">
        <v>0.0</v>
      </c>
      <c r="E81" s="97">
        <v>0.0</v>
      </c>
      <c r="F81" s="96">
        <v>0.0</v>
      </c>
      <c r="G81" s="96">
        <v>0.0</v>
      </c>
      <c r="H81" s="97">
        <v>0.0</v>
      </c>
      <c r="I81" s="96">
        <v>0.0</v>
      </c>
      <c r="J81" s="96">
        <v>0.0</v>
      </c>
      <c r="K81" s="97">
        <v>0.0</v>
      </c>
      <c r="L81" s="96">
        <v>0.0</v>
      </c>
      <c r="M81" s="96">
        <v>0.0</v>
      </c>
      <c r="N81" s="97">
        <v>0.0</v>
      </c>
      <c r="O81" s="4"/>
      <c r="P81" s="4"/>
      <c r="Q81" s="625"/>
      <c r="R81" s="4"/>
      <c r="S81" s="4"/>
      <c r="T81" s="4"/>
      <c r="U81" s="4"/>
      <c r="V81" s="4"/>
      <c r="W81" s="4"/>
      <c r="X81" s="4"/>
      <c r="Y81" s="4"/>
      <c r="Z81" s="4"/>
    </row>
    <row r="82" ht="20.25" customHeight="1">
      <c r="A82" s="29">
        <v>17.0</v>
      </c>
      <c r="B82" s="30"/>
      <c r="C82" s="96">
        <v>0.0</v>
      </c>
      <c r="D82" s="96">
        <v>0.0</v>
      </c>
      <c r="E82" s="97">
        <v>0.0</v>
      </c>
      <c r="F82" s="96">
        <v>0.0</v>
      </c>
      <c r="G82" s="96">
        <v>0.0</v>
      </c>
      <c r="H82" s="97">
        <v>0.0</v>
      </c>
      <c r="I82" s="96">
        <v>0.0</v>
      </c>
      <c r="J82" s="96">
        <v>0.0</v>
      </c>
      <c r="K82" s="97">
        <v>0.0</v>
      </c>
      <c r="L82" s="96">
        <v>0.0</v>
      </c>
      <c r="M82" s="96">
        <v>0.0</v>
      </c>
      <c r="N82" s="97">
        <v>0.0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0.25" customHeight="1">
      <c r="A83" s="29">
        <v>18.0</v>
      </c>
      <c r="B83" s="30"/>
      <c r="C83" s="96">
        <v>0.0</v>
      </c>
      <c r="D83" s="96">
        <v>0.0</v>
      </c>
      <c r="E83" s="97">
        <v>0.0</v>
      </c>
      <c r="F83" s="96">
        <v>0.0</v>
      </c>
      <c r="G83" s="96">
        <v>0.0</v>
      </c>
      <c r="H83" s="97">
        <v>0.0</v>
      </c>
      <c r="I83" s="96">
        <v>0.0</v>
      </c>
      <c r="J83" s="96">
        <v>0.0</v>
      </c>
      <c r="K83" s="97">
        <v>0.0</v>
      </c>
      <c r="L83" s="96">
        <v>0.0</v>
      </c>
      <c r="M83" s="96">
        <v>0.0</v>
      </c>
      <c r="N83" s="97">
        <v>0.0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0.25" customHeight="1">
      <c r="A84" s="29">
        <v>19.0</v>
      </c>
      <c r="B84" s="30"/>
      <c r="C84" s="96">
        <v>0.0</v>
      </c>
      <c r="D84" s="96">
        <v>0.0</v>
      </c>
      <c r="E84" s="97">
        <v>0.0</v>
      </c>
      <c r="F84" s="96">
        <v>0.0</v>
      </c>
      <c r="G84" s="96">
        <v>0.0</v>
      </c>
      <c r="H84" s="97">
        <v>0.0</v>
      </c>
      <c r="I84" s="96">
        <v>0.0</v>
      </c>
      <c r="J84" s="96">
        <v>0.0</v>
      </c>
      <c r="K84" s="97">
        <v>0.0</v>
      </c>
      <c r="L84" s="96">
        <v>0.0</v>
      </c>
      <c r="M84" s="96">
        <v>0.0</v>
      </c>
      <c r="N84" s="97">
        <v>0.0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57" t="s">
        <v>36</v>
      </c>
      <c r="B85" s="21"/>
      <c r="C85" s="58">
        <f t="shared" ref="C85:N85" si="18">SUM(C66:C84)</f>
        <v>30000</v>
      </c>
      <c r="D85" s="58">
        <f t="shared" si="18"/>
        <v>30000</v>
      </c>
      <c r="E85" s="88">
        <f t="shared" si="18"/>
        <v>0</v>
      </c>
      <c r="F85" s="58">
        <f t="shared" si="18"/>
        <v>285000</v>
      </c>
      <c r="G85" s="58">
        <f t="shared" si="18"/>
        <v>135000</v>
      </c>
      <c r="H85" s="620">
        <f t="shared" si="18"/>
        <v>150000</v>
      </c>
      <c r="I85" s="58">
        <f t="shared" si="18"/>
        <v>84000</v>
      </c>
      <c r="J85" s="58">
        <f t="shared" si="18"/>
        <v>84000</v>
      </c>
      <c r="K85" s="59">
        <f t="shared" si="18"/>
        <v>0</v>
      </c>
      <c r="L85" s="58">
        <f t="shared" si="18"/>
        <v>248000</v>
      </c>
      <c r="M85" s="58">
        <f t="shared" si="18"/>
        <v>124000</v>
      </c>
      <c r="N85" s="620">
        <f t="shared" si="18"/>
        <v>124000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0.25" customHeight="1">
      <c r="A86" s="4"/>
      <c r="B86" s="4"/>
      <c r="C86" s="4"/>
      <c r="D86" s="4"/>
      <c r="E86" s="63"/>
      <c r="F86" s="4"/>
      <c r="G86" s="4"/>
      <c r="H86" s="63"/>
      <c r="I86" s="4"/>
      <c r="J86" s="4"/>
      <c r="K86" s="63"/>
      <c r="L86" s="4"/>
      <c r="M86" s="4"/>
      <c r="N86" s="6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4"/>
      <c r="B87" s="4"/>
      <c r="C87" s="4"/>
      <c r="D87" s="4"/>
      <c r="E87" s="63"/>
      <c r="F87" s="4"/>
      <c r="G87" s="4"/>
      <c r="H87" s="63"/>
      <c r="I87" s="4"/>
      <c r="J87" s="4"/>
      <c r="K87" s="63"/>
      <c r="L87" s="4"/>
      <c r="M87" s="4"/>
      <c r="N87" s="6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623" t="s">
        <v>322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1" t="s">
        <v>333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customHeight="1">
      <c r="A90" s="10" t="s">
        <v>4</v>
      </c>
      <c r="B90" s="10" t="s">
        <v>5</v>
      </c>
      <c r="C90" s="99" t="s">
        <v>61</v>
      </c>
      <c r="D90" s="7"/>
      <c r="E90" s="8"/>
      <c r="F90" s="100" t="s">
        <v>340</v>
      </c>
      <c r="G90" s="7"/>
      <c r="H90" s="8"/>
      <c r="I90" s="627" t="s">
        <v>341</v>
      </c>
      <c r="J90" s="7"/>
      <c r="K90" s="8"/>
      <c r="L90" s="627"/>
      <c r="M90" s="7"/>
      <c r="N90" s="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customHeight="1">
      <c r="A91" s="12"/>
      <c r="B91" s="12"/>
      <c r="E91" s="13"/>
      <c r="F91" s="14"/>
      <c r="G91" s="15"/>
      <c r="H91" s="16"/>
      <c r="I91" s="14"/>
      <c r="J91" s="15"/>
      <c r="K91" s="16"/>
      <c r="L91" s="14"/>
      <c r="M91" s="15"/>
      <c r="N91" s="1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0.25" customHeight="1">
      <c r="A92" s="12"/>
      <c r="B92" s="12"/>
      <c r="C92" s="592" t="s">
        <v>342</v>
      </c>
      <c r="D92" s="7"/>
      <c r="E92" s="8"/>
      <c r="F92" s="592" t="s">
        <v>342</v>
      </c>
      <c r="G92" s="7"/>
      <c r="H92" s="8"/>
      <c r="I92" s="17" t="s">
        <v>199</v>
      </c>
      <c r="J92" s="7"/>
      <c r="K92" s="8"/>
      <c r="L92" s="17" t="s">
        <v>199</v>
      </c>
      <c r="M92" s="7"/>
      <c r="N92" s="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0.25" customHeight="1">
      <c r="A93" s="22"/>
      <c r="B93" s="22"/>
      <c r="C93" s="69" t="s">
        <v>13</v>
      </c>
      <c r="D93" s="69" t="s">
        <v>14</v>
      </c>
      <c r="E93" s="70" t="s">
        <v>15</v>
      </c>
      <c r="F93" s="69" t="s">
        <v>13</v>
      </c>
      <c r="G93" s="69" t="s">
        <v>14</v>
      </c>
      <c r="H93" s="70" t="s">
        <v>15</v>
      </c>
      <c r="I93" s="23" t="s">
        <v>13</v>
      </c>
      <c r="J93" s="23" t="s">
        <v>14</v>
      </c>
      <c r="K93" s="24" t="s">
        <v>15</v>
      </c>
      <c r="L93" s="23" t="s">
        <v>13</v>
      </c>
      <c r="M93" s="23" t="s">
        <v>14</v>
      </c>
      <c r="N93" s="24" t="s">
        <v>15</v>
      </c>
      <c r="O93" s="7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0.25" customHeight="1">
      <c r="A94" s="92"/>
      <c r="B94" s="21"/>
      <c r="C94" s="72"/>
      <c r="D94" s="20"/>
      <c r="E94" s="21"/>
      <c r="F94" s="72"/>
      <c r="G94" s="20"/>
      <c r="H94" s="21"/>
      <c r="I94" s="114"/>
      <c r="J94" s="20"/>
      <c r="K94" s="21"/>
      <c r="L94" s="114"/>
      <c r="M94" s="20"/>
      <c r="N94" s="21"/>
      <c r="O94" s="7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0.25" customHeight="1">
      <c r="A95" s="29">
        <v>1.0</v>
      </c>
      <c r="B95" s="30" t="s">
        <v>17</v>
      </c>
      <c r="C95" s="31">
        <v>170580.0</v>
      </c>
      <c r="D95" s="628">
        <v>0.0</v>
      </c>
      <c r="E95" s="629">
        <f>SUM(C95-D95)</f>
        <v>170580</v>
      </c>
      <c r="F95" s="630">
        <v>5053.61</v>
      </c>
      <c r="G95" s="630">
        <v>5053.61</v>
      </c>
      <c r="H95" s="37">
        <f>SUM(F95-G95)</f>
        <v>0</v>
      </c>
      <c r="I95" s="76">
        <v>48000.0</v>
      </c>
      <c r="J95" s="76">
        <f>8000+8000+8000</f>
        <v>24000</v>
      </c>
      <c r="K95" s="611">
        <f>SUM(I95-J95)</f>
        <v>24000</v>
      </c>
      <c r="L95" s="76">
        <v>0.0</v>
      </c>
      <c r="M95" s="76">
        <v>0.0</v>
      </c>
      <c r="N95" s="81">
        <f>SUM(L95-M95)</f>
        <v>0</v>
      </c>
      <c r="O95" s="79"/>
      <c r="P95" s="4"/>
      <c r="Q95" s="631"/>
      <c r="R95" s="4"/>
      <c r="S95" s="4"/>
      <c r="T95" s="4"/>
      <c r="U95" s="4"/>
      <c r="V95" s="4"/>
      <c r="W95" s="4"/>
      <c r="X95" s="4"/>
      <c r="Y95" s="4"/>
      <c r="Z95" s="4"/>
    </row>
    <row r="96" ht="20.25" customHeight="1">
      <c r="A96" s="29">
        <v>2.0</v>
      </c>
      <c r="B96" s="45"/>
      <c r="C96" s="111"/>
      <c r="D96" s="111"/>
      <c r="E96" s="111"/>
      <c r="F96" s="111"/>
      <c r="G96" s="111"/>
      <c r="H96" s="111"/>
      <c r="I96" s="111"/>
      <c r="J96" s="111"/>
      <c r="K96" s="111"/>
      <c r="L96" s="84"/>
      <c r="M96" s="85"/>
      <c r="N96" s="81"/>
      <c r="O96" s="7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0.25" customHeight="1">
      <c r="A97" s="29">
        <v>3.0</v>
      </c>
      <c r="B97" s="30"/>
      <c r="C97" s="111">
        <v>0.0</v>
      </c>
      <c r="D97" s="111">
        <v>0.0</v>
      </c>
      <c r="E97" s="111">
        <v>0.0</v>
      </c>
      <c r="F97" s="111">
        <v>0.0</v>
      </c>
      <c r="G97" s="111">
        <v>0.0</v>
      </c>
      <c r="H97" s="111">
        <v>0.0</v>
      </c>
      <c r="I97" s="111">
        <v>0.0</v>
      </c>
      <c r="J97" s="111">
        <v>0.0</v>
      </c>
      <c r="K97" s="111">
        <v>0.0</v>
      </c>
      <c r="L97" s="84"/>
      <c r="M97" s="85"/>
      <c r="N97" s="81"/>
      <c r="O97" s="7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0.25" customHeight="1">
      <c r="A98" s="29">
        <v>4.0</v>
      </c>
      <c r="B98" s="30"/>
      <c r="C98" s="96">
        <v>0.0</v>
      </c>
      <c r="D98" s="96">
        <v>0.0</v>
      </c>
      <c r="E98" s="97">
        <v>0.0</v>
      </c>
      <c r="F98" s="96">
        <v>0.0</v>
      </c>
      <c r="G98" s="96">
        <v>0.0</v>
      </c>
      <c r="H98" s="97">
        <v>0.0</v>
      </c>
      <c r="I98" s="96">
        <v>0.0</v>
      </c>
      <c r="J98" s="96">
        <v>0.0</v>
      </c>
      <c r="K98" s="97">
        <v>0.0</v>
      </c>
      <c r="L98" s="84"/>
      <c r="M98" s="85"/>
      <c r="N98" s="81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0.25" customHeight="1">
      <c r="A99" s="29">
        <v>5.0</v>
      </c>
      <c r="B99" s="30"/>
      <c r="C99" s="96">
        <v>0.0</v>
      </c>
      <c r="D99" s="96">
        <v>0.0</v>
      </c>
      <c r="E99" s="97">
        <v>0.0</v>
      </c>
      <c r="F99" s="96">
        <v>0.0</v>
      </c>
      <c r="G99" s="96">
        <v>0.0</v>
      </c>
      <c r="H99" s="97">
        <v>0.0</v>
      </c>
      <c r="I99" s="96">
        <v>0.0</v>
      </c>
      <c r="J99" s="96">
        <v>0.0</v>
      </c>
      <c r="K99" s="97">
        <v>0.0</v>
      </c>
      <c r="L99" s="84"/>
      <c r="M99" s="85"/>
      <c r="N99" s="81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0.25" customHeight="1">
      <c r="A100" s="29">
        <v>6.0</v>
      </c>
      <c r="B100" s="30"/>
      <c r="C100" s="96">
        <v>0.0</v>
      </c>
      <c r="D100" s="96">
        <v>0.0</v>
      </c>
      <c r="E100" s="97">
        <v>0.0</v>
      </c>
      <c r="F100" s="96">
        <v>0.0</v>
      </c>
      <c r="G100" s="96">
        <v>0.0</v>
      </c>
      <c r="H100" s="97">
        <v>0.0</v>
      </c>
      <c r="I100" s="96">
        <v>0.0</v>
      </c>
      <c r="J100" s="96">
        <v>0.0</v>
      </c>
      <c r="K100" s="97">
        <v>0.0</v>
      </c>
      <c r="L100" s="84"/>
      <c r="M100" s="85"/>
      <c r="N100" s="81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0.25" customHeight="1">
      <c r="A101" s="29">
        <v>7.0</v>
      </c>
      <c r="B101" s="30"/>
      <c r="C101" s="96">
        <v>0.0</v>
      </c>
      <c r="D101" s="96">
        <v>0.0</v>
      </c>
      <c r="E101" s="97">
        <v>0.0</v>
      </c>
      <c r="F101" s="96">
        <v>0.0</v>
      </c>
      <c r="G101" s="96">
        <v>0.0</v>
      </c>
      <c r="H101" s="97">
        <v>0.0</v>
      </c>
      <c r="I101" s="96">
        <v>0.0</v>
      </c>
      <c r="J101" s="96">
        <v>0.0</v>
      </c>
      <c r="K101" s="97">
        <v>0.0</v>
      </c>
      <c r="L101" s="84"/>
      <c r="M101" s="85"/>
      <c r="N101" s="8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0.25" customHeight="1">
      <c r="A102" s="29">
        <v>8.0</v>
      </c>
      <c r="B102" s="30"/>
      <c r="C102" s="96">
        <v>0.0</v>
      </c>
      <c r="D102" s="96">
        <v>0.0</v>
      </c>
      <c r="E102" s="97">
        <v>0.0</v>
      </c>
      <c r="F102" s="96">
        <v>0.0</v>
      </c>
      <c r="G102" s="96">
        <v>0.0</v>
      </c>
      <c r="H102" s="97">
        <v>0.0</v>
      </c>
      <c r="I102" s="96">
        <v>0.0</v>
      </c>
      <c r="J102" s="96">
        <v>0.0</v>
      </c>
      <c r="K102" s="97">
        <v>0.0</v>
      </c>
      <c r="L102" s="84"/>
      <c r="M102" s="85"/>
      <c r="N102" s="81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0.25" customHeight="1">
      <c r="A103" s="29">
        <v>9.0</v>
      </c>
      <c r="B103" s="30"/>
      <c r="C103" s="96">
        <v>0.0</v>
      </c>
      <c r="D103" s="96">
        <v>0.0</v>
      </c>
      <c r="E103" s="97">
        <v>0.0</v>
      </c>
      <c r="F103" s="96">
        <v>0.0</v>
      </c>
      <c r="G103" s="96">
        <v>0.0</v>
      </c>
      <c r="H103" s="97">
        <v>0.0</v>
      </c>
      <c r="I103" s="96">
        <v>0.0</v>
      </c>
      <c r="J103" s="96">
        <v>0.0</v>
      </c>
      <c r="K103" s="97">
        <v>0.0</v>
      </c>
      <c r="L103" s="84"/>
      <c r="M103" s="85"/>
      <c r="N103" s="81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0.25" customHeight="1">
      <c r="A104" s="29">
        <v>10.0</v>
      </c>
      <c r="B104" s="30"/>
      <c r="C104" s="96">
        <v>0.0</v>
      </c>
      <c r="D104" s="96">
        <v>0.0</v>
      </c>
      <c r="E104" s="97">
        <v>0.0</v>
      </c>
      <c r="F104" s="96">
        <v>0.0</v>
      </c>
      <c r="G104" s="96">
        <v>0.0</v>
      </c>
      <c r="H104" s="97">
        <v>0.0</v>
      </c>
      <c r="I104" s="96">
        <v>0.0</v>
      </c>
      <c r="J104" s="96">
        <v>0.0</v>
      </c>
      <c r="K104" s="97">
        <v>0.0</v>
      </c>
      <c r="L104" s="84"/>
      <c r="M104" s="85"/>
      <c r="N104" s="81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0.25" customHeight="1">
      <c r="A105" s="29">
        <v>11.0</v>
      </c>
      <c r="B105" s="30"/>
      <c r="C105" s="96">
        <v>0.0</v>
      </c>
      <c r="D105" s="96">
        <v>0.0</v>
      </c>
      <c r="E105" s="97">
        <v>0.0</v>
      </c>
      <c r="F105" s="96">
        <v>0.0</v>
      </c>
      <c r="G105" s="96">
        <v>0.0</v>
      </c>
      <c r="H105" s="97">
        <v>0.0</v>
      </c>
      <c r="I105" s="96">
        <v>0.0</v>
      </c>
      <c r="J105" s="96">
        <v>0.0</v>
      </c>
      <c r="K105" s="97">
        <v>0.0</v>
      </c>
      <c r="L105" s="84"/>
      <c r="M105" s="85"/>
      <c r="N105" s="81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0.25" customHeight="1">
      <c r="A106" s="29">
        <v>12.0</v>
      </c>
      <c r="B106" s="30"/>
      <c r="C106" s="96">
        <v>0.0</v>
      </c>
      <c r="D106" s="96">
        <v>0.0</v>
      </c>
      <c r="E106" s="97">
        <v>0.0</v>
      </c>
      <c r="F106" s="96">
        <v>0.0</v>
      </c>
      <c r="G106" s="96">
        <v>0.0</v>
      </c>
      <c r="H106" s="97">
        <v>0.0</v>
      </c>
      <c r="I106" s="96">
        <v>0.0</v>
      </c>
      <c r="J106" s="96">
        <v>0.0</v>
      </c>
      <c r="K106" s="97">
        <v>0.0</v>
      </c>
      <c r="L106" s="84"/>
      <c r="M106" s="85"/>
      <c r="N106" s="81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0.25" customHeight="1">
      <c r="A107" s="29">
        <v>13.0</v>
      </c>
      <c r="B107" s="30"/>
      <c r="C107" s="96">
        <v>0.0</v>
      </c>
      <c r="D107" s="96">
        <v>0.0</v>
      </c>
      <c r="E107" s="97">
        <v>0.0</v>
      </c>
      <c r="F107" s="96">
        <v>0.0</v>
      </c>
      <c r="G107" s="96">
        <v>0.0</v>
      </c>
      <c r="H107" s="97">
        <v>0.0</v>
      </c>
      <c r="I107" s="96">
        <v>0.0</v>
      </c>
      <c r="J107" s="96">
        <v>0.0</v>
      </c>
      <c r="K107" s="97">
        <v>0.0</v>
      </c>
      <c r="L107" s="84"/>
      <c r="M107" s="85"/>
      <c r="N107" s="81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0.25" customHeight="1">
      <c r="A108" s="29">
        <v>14.0</v>
      </c>
      <c r="B108" s="30"/>
      <c r="C108" s="96">
        <v>0.0</v>
      </c>
      <c r="D108" s="96">
        <v>0.0</v>
      </c>
      <c r="E108" s="97">
        <v>0.0</v>
      </c>
      <c r="F108" s="96">
        <v>0.0</v>
      </c>
      <c r="G108" s="96">
        <v>0.0</v>
      </c>
      <c r="H108" s="97">
        <v>0.0</v>
      </c>
      <c r="I108" s="96">
        <v>0.0</v>
      </c>
      <c r="J108" s="96">
        <v>0.0</v>
      </c>
      <c r="K108" s="97">
        <v>0.0</v>
      </c>
      <c r="L108" s="84"/>
      <c r="M108" s="85"/>
      <c r="N108" s="81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0.25" customHeight="1">
      <c r="A109" s="29">
        <v>15.0</v>
      </c>
      <c r="B109" s="55"/>
      <c r="C109" s="96">
        <v>0.0</v>
      </c>
      <c r="D109" s="96">
        <v>0.0</v>
      </c>
      <c r="E109" s="97">
        <v>0.0</v>
      </c>
      <c r="F109" s="96">
        <v>0.0</v>
      </c>
      <c r="G109" s="96">
        <v>0.0</v>
      </c>
      <c r="H109" s="97">
        <v>0.0</v>
      </c>
      <c r="I109" s="96">
        <v>0.0</v>
      </c>
      <c r="J109" s="96">
        <v>0.0</v>
      </c>
      <c r="K109" s="97">
        <v>0.0</v>
      </c>
      <c r="L109" s="84"/>
      <c r="M109" s="85"/>
      <c r="N109" s="81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0.25" customHeight="1">
      <c r="A110" s="29">
        <v>16.0</v>
      </c>
      <c r="B110" s="30"/>
      <c r="C110" s="96">
        <v>0.0</v>
      </c>
      <c r="D110" s="96">
        <v>0.0</v>
      </c>
      <c r="E110" s="97">
        <v>0.0</v>
      </c>
      <c r="F110" s="96">
        <v>0.0</v>
      </c>
      <c r="G110" s="96">
        <v>0.0</v>
      </c>
      <c r="H110" s="97">
        <v>0.0</v>
      </c>
      <c r="I110" s="96">
        <v>0.0</v>
      </c>
      <c r="J110" s="96">
        <v>0.0</v>
      </c>
      <c r="K110" s="97">
        <v>0.0</v>
      </c>
      <c r="L110" s="84"/>
      <c r="M110" s="85"/>
      <c r="N110" s="81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0.25" customHeight="1">
      <c r="A111" s="29">
        <v>17.0</v>
      </c>
      <c r="B111" s="30"/>
      <c r="C111" s="96">
        <v>0.0</v>
      </c>
      <c r="D111" s="96">
        <v>0.0</v>
      </c>
      <c r="E111" s="97">
        <v>0.0</v>
      </c>
      <c r="F111" s="96">
        <v>0.0</v>
      </c>
      <c r="G111" s="96">
        <v>0.0</v>
      </c>
      <c r="H111" s="97">
        <v>0.0</v>
      </c>
      <c r="I111" s="96">
        <v>0.0</v>
      </c>
      <c r="J111" s="96">
        <v>0.0</v>
      </c>
      <c r="K111" s="97">
        <v>0.0</v>
      </c>
      <c r="L111" s="84"/>
      <c r="M111" s="85"/>
      <c r="N111" s="8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0.25" customHeight="1">
      <c r="A112" s="29">
        <v>18.0</v>
      </c>
      <c r="B112" s="30"/>
      <c r="C112" s="96">
        <v>0.0</v>
      </c>
      <c r="D112" s="96">
        <v>0.0</v>
      </c>
      <c r="E112" s="97">
        <v>0.0</v>
      </c>
      <c r="F112" s="96">
        <v>0.0</v>
      </c>
      <c r="G112" s="96">
        <v>0.0</v>
      </c>
      <c r="H112" s="97">
        <v>0.0</v>
      </c>
      <c r="I112" s="96">
        <v>0.0</v>
      </c>
      <c r="J112" s="96">
        <v>0.0</v>
      </c>
      <c r="K112" s="97">
        <v>0.0</v>
      </c>
      <c r="L112" s="84"/>
      <c r="M112" s="85"/>
      <c r="N112" s="81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0.25" customHeight="1">
      <c r="A113" s="29">
        <v>19.0</v>
      </c>
      <c r="B113" s="30"/>
      <c r="C113" s="96">
        <v>0.0</v>
      </c>
      <c r="D113" s="96">
        <v>0.0</v>
      </c>
      <c r="E113" s="97">
        <v>0.0</v>
      </c>
      <c r="F113" s="96">
        <v>0.0</v>
      </c>
      <c r="G113" s="96">
        <v>0.0</v>
      </c>
      <c r="H113" s="97">
        <v>0.0</v>
      </c>
      <c r="I113" s="96">
        <v>0.0</v>
      </c>
      <c r="J113" s="96">
        <v>0.0</v>
      </c>
      <c r="K113" s="97">
        <v>0.0</v>
      </c>
      <c r="L113" s="84"/>
      <c r="M113" s="85"/>
      <c r="N113" s="81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0.25" customHeight="1">
      <c r="A114" s="57" t="s">
        <v>36</v>
      </c>
      <c r="B114" s="21"/>
      <c r="C114" s="58">
        <f t="shared" ref="C114:N114" si="19">SUM(C95:C113)</f>
        <v>170580</v>
      </c>
      <c r="D114" s="58">
        <f t="shared" si="19"/>
        <v>0</v>
      </c>
      <c r="E114" s="632">
        <f t="shared" si="19"/>
        <v>170580</v>
      </c>
      <c r="F114" s="60">
        <f t="shared" si="19"/>
        <v>5053.61</v>
      </c>
      <c r="G114" s="60">
        <f t="shared" si="19"/>
        <v>5053.61</v>
      </c>
      <c r="H114" s="59">
        <f t="shared" si="19"/>
        <v>0</v>
      </c>
      <c r="I114" s="60">
        <f t="shared" si="19"/>
        <v>48000</v>
      </c>
      <c r="J114" s="60">
        <f t="shared" si="19"/>
        <v>24000</v>
      </c>
      <c r="K114" s="620">
        <f t="shared" si="19"/>
        <v>24000</v>
      </c>
      <c r="L114" s="60">
        <f t="shared" si="19"/>
        <v>0</v>
      </c>
      <c r="M114" s="60">
        <f t="shared" si="19"/>
        <v>0</v>
      </c>
      <c r="N114" s="87">
        <f t="shared" si="19"/>
        <v>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0.25" customHeight="1">
      <c r="A115" s="4"/>
      <c r="B115" s="4"/>
      <c r="C115" s="4"/>
      <c r="D115" s="4"/>
      <c r="E115" s="63"/>
      <c r="F115" s="4"/>
      <c r="G115" s="4"/>
      <c r="H115" s="63"/>
      <c r="I115" s="4"/>
      <c r="J115" s="4"/>
      <c r="K115" s="63"/>
      <c r="L115" s="4"/>
      <c r="M115" s="4"/>
      <c r="N115" s="6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0.25" customHeight="1">
      <c r="A116" s="4"/>
      <c r="B116" s="4"/>
      <c r="C116" s="4"/>
      <c r="D116" s="4"/>
      <c r="E116" s="63"/>
      <c r="F116" s="4"/>
      <c r="G116" s="4"/>
      <c r="H116" s="63"/>
      <c r="I116" s="4"/>
      <c r="J116" s="4"/>
      <c r="K116" s="63"/>
      <c r="L116" s="4"/>
      <c r="M116" s="4"/>
      <c r="N116" s="6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0.25" customHeight="1">
      <c r="A117" s="623" t="s">
        <v>322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0.25" customHeight="1">
      <c r="A118" s="1" t="s">
        <v>333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0.25" customHeight="1">
      <c r="A119" s="10" t="s">
        <v>4</v>
      </c>
      <c r="B119" s="10" t="s">
        <v>5</v>
      </c>
      <c r="C119" s="633"/>
      <c r="D119" s="7"/>
      <c r="E119" s="8"/>
      <c r="F119" s="99" t="s">
        <v>343</v>
      </c>
      <c r="G119" s="7"/>
      <c r="H119" s="8"/>
      <c r="I119" s="101"/>
      <c r="J119" s="7"/>
      <c r="K119" s="8"/>
      <c r="L119" s="100"/>
      <c r="M119" s="7"/>
      <c r="N119" s="8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0.25" customHeight="1">
      <c r="A120" s="12"/>
      <c r="B120" s="12"/>
      <c r="C120" s="14"/>
      <c r="D120" s="15"/>
      <c r="E120" s="16"/>
      <c r="H120" s="13"/>
      <c r="I120" s="14"/>
      <c r="J120" s="15"/>
      <c r="K120" s="16"/>
      <c r="L120" s="14"/>
      <c r="M120" s="15"/>
      <c r="N120" s="1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0.25" customHeight="1">
      <c r="A121" s="12"/>
      <c r="B121" s="12"/>
      <c r="C121" s="634"/>
      <c r="D121" s="7"/>
      <c r="E121" s="8"/>
      <c r="F121" s="67" t="s">
        <v>12</v>
      </c>
      <c r="G121" s="7"/>
      <c r="H121" s="8"/>
      <c r="I121" s="17" t="s">
        <v>199</v>
      </c>
      <c r="J121" s="7"/>
      <c r="K121" s="8"/>
      <c r="L121" s="17" t="s">
        <v>199</v>
      </c>
      <c r="M121" s="7"/>
      <c r="N121" s="8"/>
      <c r="O121" s="79" t="s">
        <v>344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0.25" customHeight="1">
      <c r="A122" s="22"/>
      <c r="B122" s="22"/>
      <c r="C122" s="69" t="s">
        <v>13</v>
      </c>
      <c r="D122" s="69" t="s">
        <v>14</v>
      </c>
      <c r="E122" s="70" t="s">
        <v>15</v>
      </c>
      <c r="F122" s="69" t="s">
        <v>13</v>
      </c>
      <c r="G122" s="69" t="s">
        <v>14</v>
      </c>
      <c r="H122" s="70" t="s">
        <v>15</v>
      </c>
      <c r="I122" s="25" t="s">
        <v>13</v>
      </c>
      <c r="J122" s="25" t="s">
        <v>14</v>
      </c>
      <c r="K122" s="91" t="s">
        <v>15</v>
      </c>
      <c r="L122" s="25" t="s">
        <v>13</v>
      </c>
      <c r="M122" s="25" t="s">
        <v>14</v>
      </c>
      <c r="N122" s="91" t="s">
        <v>15</v>
      </c>
      <c r="O122" s="79" t="s">
        <v>345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0.25" customHeight="1">
      <c r="A123" s="92"/>
      <c r="B123" s="21"/>
      <c r="C123" s="72"/>
      <c r="D123" s="20"/>
      <c r="E123" s="21"/>
      <c r="F123" s="72"/>
      <c r="G123" s="20"/>
      <c r="H123" s="21"/>
      <c r="I123" s="73"/>
      <c r="J123" s="20"/>
      <c r="K123" s="20"/>
      <c r="L123" s="73"/>
      <c r="M123" s="20"/>
      <c r="N123" s="21"/>
      <c r="O123" s="79" t="s">
        <v>346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0.25" customHeight="1">
      <c r="A124" s="29">
        <v>1.0</v>
      </c>
      <c r="B124" s="30" t="s">
        <v>17</v>
      </c>
      <c r="C124" s="635">
        <v>0.0</v>
      </c>
      <c r="D124" s="636">
        <v>0.0</v>
      </c>
      <c r="E124" s="51">
        <f>SUM(C124-D124)</f>
        <v>0</v>
      </c>
      <c r="F124" s="637">
        <v>80022.48</v>
      </c>
      <c r="G124" s="54">
        <f>14200+7120+3200+800+800+3400+3675+800+800+800+2180+1750+11175+143+3850+2650+3590+5500</f>
        <v>66433</v>
      </c>
      <c r="H124" s="105">
        <f>SUM(F124-G124)</f>
        <v>13589.48</v>
      </c>
      <c r="I124" s="31"/>
      <c r="J124" s="54"/>
      <c r="K124" s="51"/>
      <c r="L124" s="638"/>
      <c r="M124" s="639"/>
      <c r="N124" s="640"/>
      <c r="O124" s="79" t="s">
        <v>347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0.25" customHeight="1">
      <c r="A125" s="29">
        <v>2.0</v>
      </c>
      <c r="B125" s="45"/>
      <c r="C125" s="600"/>
      <c r="D125" s="53"/>
      <c r="E125" s="641"/>
      <c r="F125" s="642"/>
      <c r="G125" s="643"/>
      <c r="H125" s="644"/>
      <c r="I125" s="645"/>
      <c r="J125" s="646"/>
      <c r="K125" s="644"/>
      <c r="L125" s="647"/>
      <c r="M125" s="648"/>
      <c r="N125" s="640"/>
      <c r="O125" s="79" t="s">
        <v>348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0.25" customHeight="1">
      <c r="A126" s="29">
        <v>3.0</v>
      </c>
      <c r="B126" s="30"/>
      <c r="C126" s="600"/>
      <c r="D126" s="53"/>
      <c r="E126" s="641"/>
      <c r="F126" s="642"/>
      <c r="G126" s="643"/>
      <c r="H126" s="644"/>
      <c r="I126" s="645"/>
      <c r="J126" s="646"/>
      <c r="K126" s="644"/>
      <c r="L126" s="647"/>
      <c r="M126" s="648"/>
      <c r="N126" s="640"/>
      <c r="O126" s="79" t="s">
        <v>349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0.25" customHeight="1">
      <c r="A127" s="29">
        <v>4.0</v>
      </c>
      <c r="B127" s="30"/>
      <c r="C127" s="600"/>
      <c r="D127" s="53"/>
      <c r="E127" s="641"/>
      <c r="F127" s="642"/>
      <c r="G127" s="643"/>
      <c r="H127" s="644"/>
      <c r="I127" s="645"/>
      <c r="J127" s="646"/>
      <c r="K127" s="644"/>
      <c r="L127" s="647"/>
      <c r="M127" s="648"/>
      <c r="N127" s="640"/>
      <c r="O127" s="79" t="s">
        <v>350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0.25" customHeight="1">
      <c r="A128" s="29">
        <v>5.0</v>
      </c>
      <c r="B128" s="30"/>
      <c r="C128" s="600"/>
      <c r="D128" s="53"/>
      <c r="E128" s="641"/>
      <c r="F128" s="642"/>
      <c r="G128" s="643"/>
      <c r="H128" s="644"/>
      <c r="I128" s="645"/>
      <c r="J128" s="646"/>
      <c r="K128" s="644"/>
      <c r="L128" s="647"/>
      <c r="M128" s="648"/>
      <c r="N128" s="640"/>
      <c r="O128" s="79" t="s">
        <v>351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0.25" customHeight="1">
      <c r="A129" s="29">
        <v>6.0</v>
      </c>
      <c r="B129" s="30"/>
      <c r="C129" s="600"/>
      <c r="D129" s="53"/>
      <c r="E129" s="641"/>
      <c r="F129" s="642"/>
      <c r="G129" s="643"/>
      <c r="H129" s="644"/>
      <c r="I129" s="645"/>
      <c r="J129" s="646"/>
      <c r="K129" s="644"/>
      <c r="L129" s="649"/>
      <c r="M129" s="648"/>
      <c r="N129" s="640"/>
      <c r="O129" s="79" t="s">
        <v>352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0.25" customHeight="1">
      <c r="A130" s="29">
        <v>7.0</v>
      </c>
      <c r="B130" s="30"/>
      <c r="C130" s="600"/>
      <c r="D130" s="53"/>
      <c r="E130" s="641"/>
      <c r="F130" s="642"/>
      <c r="G130" s="643"/>
      <c r="H130" s="644"/>
      <c r="I130" s="645"/>
      <c r="J130" s="646"/>
      <c r="K130" s="644"/>
      <c r="L130" s="649"/>
      <c r="M130" s="648"/>
      <c r="N130" s="640"/>
      <c r="O130" s="79" t="s">
        <v>353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0.25" customHeight="1">
      <c r="A131" s="29">
        <v>8.0</v>
      </c>
      <c r="B131" s="30"/>
      <c r="C131" s="600"/>
      <c r="D131" s="53"/>
      <c r="E131" s="641"/>
      <c r="F131" s="642"/>
      <c r="G131" s="643"/>
      <c r="H131" s="644"/>
      <c r="I131" s="645"/>
      <c r="J131" s="646"/>
      <c r="K131" s="644"/>
      <c r="L131" s="649"/>
      <c r="M131" s="648"/>
      <c r="N131" s="640"/>
      <c r="O131" s="79" t="s">
        <v>354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0.25" customHeight="1">
      <c r="A132" s="29">
        <v>9.0</v>
      </c>
      <c r="B132" s="30"/>
      <c r="C132" s="600"/>
      <c r="D132" s="53"/>
      <c r="E132" s="641"/>
      <c r="F132" s="642"/>
      <c r="G132" s="643"/>
      <c r="H132" s="644"/>
      <c r="I132" s="645"/>
      <c r="J132" s="646"/>
      <c r="K132" s="644"/>
      <c r="L132" s="647"/>
      <c r="M132" s="648"/>
      <c r="N132" s="640"/>
      <c r="O132" s="103" t="s">
        <v>355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0.25" customHeight="1">
      <c r="A133" s="29">
        <v>10.0</v>
      </c>
      <c r="B133" s="30"/>
      <c r="C133" s="650"/>
      <c r="D133" s="651"/>
      <c r="E133" s="652"/>
      <c r="F133" s="642"/>
      <c r="G133" s="643"/>
      <c r="H133" s="644"/>
      <c r="I133" s="645"/>
      <c r="J133" s="646"/>
      <c r="K133" s="644"/>
      <c r="L133" s="649"/>
      <c r="M133" s="648"/>
      <c r="N133" s="640"/>
      <c r="O133" s="103" t="s">
        <v>356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0.25" customHeight="1">
      <c r="A134" s="29">
        <v>11.0</v>
      </c>
      <c r="B134" s="30"/>
      <c r="C134" s="650"/>
      <c r="D134" s="651"/>
      <c r="E134" s="652"/>
      <c r="F134" s="642"/>
      <c r="G134" s="643"/>
      <c r="H134" s="644"/>
      <c r="I134" s="645"/>
      <c r="J134" s="646"/>
      <c r="K134" s="644"/>
      <c r="L134" s="647"/>
      <c r="M134" s="648"/>
      <c r="N134" s="640"/>
      <c r="O134" s="103" t="s">
        <v>357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0.25" customHeight="1">
      <c r="A135" s="29">
        <v>12.0</v>
      </c>
      <c r="B135" s="30"/>
      <c r="C135" s="650"/>
      <c r="D135" s="651"/>
      <c r="E135" s="652"/>
      <c r="F135" s="642"/>
      <c r="G135" s="643"/>
      <c r="H135" s="644"/>
      <c r="I135" s="645"/>
      <c r="J135" s="646"/>
      <c r="K135" s="644"/>
      <c r="L135" s="649"/>
      <c r="M135" s="648"/>
      <c r="N135" s="640"/>
      <c r="O135" s="103" t="s">
        <v>358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0.25" customHeight="1">
      <c r="A136" s="29">
        <v>13.0</v>
      </c>
      <c r="B136" s="30"/>
      <c r="C136" s="650"/>
      <c r="D136" s="651"/>
      <c r="E136" s="652"/>
      <c r="F136" s="642"/>
      <c r="G136" s="643"/>
      <c r="H136" s="644"/>
      <c r="I136" s="645"/>
      <c r="J136" s="646"/>
      <c r="K136" s="644"/>
      <c r="L136" s="649"/>
      <c r="M136" s="648"/>
      <c r="N136" s="640"/>
      <c r="O136" s="103" t="s">
        <v>359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0.25" customHeight="1">
      <c r="A137" s="29">
        <v>14.0</v>
      </c>
      <c r="B137" s="30"/>
      <c r="C137" s="650"/>
      <c r="D137" s="651"/>
      <c r="E137" s="652"/>
      <c r="F137" s="642"/>
      <c r="G137" s="643"/>
      <c r="H137" s="644"/>
      <c r="I137" s="645"/>
      <c r="J137" s="646"/>
      <c r="K137" s="644"/>
      <c r="L137" s="649"/>
      <c r="M137" s="648"/>
      <c r="N137" s="640"/>
      <c r="O137" s="103" t="s">
        <v>360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0.25" customHeight="1">
      <c r="A138" s="29">
        <v>15.0</v>
      </c>
      <c r="B138" s="55"/>
      <c r="C138" s="650"/>
      <c r="D138" s="651"/>
      <c r="E138" s="652"/>
      <c r="F138" s="642"/>
      <c r="G138" s="643"/>
      <c r="H138" s="644"/>
      <c r="I138" s="645"/>
      <c r="J138" s="646"/>
      <c r="K138" s="644"/>
      <c r="L138" s="647"/>
      <c r="M138" s="648"/>
      <c r="N138" s="640"/>
      <c r="O138" s="103" t="s">
        <v>361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0.25" customHeight="1">
      <c r="A139" s="29">
        <v>16.0</v>
      </c>
      <c r="B139" s="30"/>
      <c r="C139" s="650"/>
      <c r="D139" s="651"/>
      <c r="E139" s="652"/>
      <c r="F139" s="642"/>
      <c r="G139" s="643"/>
      <c r="H139" s="644"/>
      <c r="I139" s="645"/>
      <c r="J139" s="646"/>
      <c r="K139" s="644"/>
      <c r="L139" s="649"/>
      <c r="M139" s="639"/>
      <c r="N139" s="640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0.25" customHeight="1">
      <c r="A140" s="29">
        <v>17.0</v>
      </c>
      <c r="B140" s="30"/>
      <c r="C140" s="650"/>
      <c r="D140" s="651"/>
      <c r="E140" s="652"/>
      <c r="F140" s="642"/>
      <c r="G140" s="643"/>
      <c r="H140" s="644"/>
      <c r="I140" s="645"/>
      <c r="J140" s="646"/>
      <c r="K140" s="644"/>
      <c r="L140" s="647"/>
      <c r="M140" s="648"/>
      <c r="N140" s="640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0.25" customHeight="1">
      <c r="A141" s="29">
        <v>18.0</v>
      </c>
      <c r="B141" s="30"/>
      <c r="C141" s="650"/>
      <c r="D141" s="651"/>
      <c r="E141" s="652"/>
      <c r="F141" s="642"/>
      <c r="G141" s="643"/>
      <c r="H141" s="644"/>
      <c r="I141" s="645"/>
      <c r="J141" s="639"/>
      <c r="K141" s="644"/>
      <c r="L141" s="649"/>
      <c r="M141" s="648"/>
      <c r="N141" s="640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0.25" customHeight="1">
      <c r="A142" s="29">
        <v>19.0</v>
      </c>
      <c r="B142" s="30"/>
      <c r="C142" s="650"/>
      <c r="D142" s="651"/>
      <c r="E142" s="652"/>
      <c r="F142" s="642"/>
      <c r="G142" s="643"/>
      <c r="H142" s="644"/>
      <c r="I142" s="645"/>
      <c r="J142" s="646"/>
      <c r="K142" s="644"/>
      <c r="L142" s="647"/>
      <c r="M142" s="648"/>
      <c r="N142" s="640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0.25" customHeight="1">
      <c r="A143" s="57" t="s">
        <v>36</v>
      </c>
      <c r="B143" s="21"/>
      <c r="C143" s="653">
        <f t="shared" ref="C143:D143" si="20">SUM(C124:C142)</f>
        <v>0</v>
      </c>
      <c r="D143" s="653">
        <f t="shared" si="20"/>
        <v>0</v>
      </c>
      <c r="E143" s="97">
        <f>SUM(C143-D143)</f>
        <v>0</v>
      </c>
      <c r="F143" s="60">
        <f t="shared" ref="F143:N143" si="21">SUM(F124:F142)</f>
        <v>80022.48</v>
      </c>
      <c r="G143" s="60">
        <f t="shared" si="21"/>
        <v>66433</v>
      </c>
      <c r="H143" s="620">
        <f t="shared" si="21"/>
        <v>13589.48</v>
      </c>
      <c r="I143" s="87">
        <f t="shared" si="21"/>
        <v>0</v>
      </c>
      <c r="J143" s="87">
        <f t="shared" si="21"/>
        <v>0</v>
      </c>
      <c r="K143" s="87">
        <f t="shared" si="21"/>
        <v>0</v>
      </c>
      <c r="L143" s="87">
        <f t="shared" si="21"/>
        <v>0</v>
      </c>
      <c r="M143" s="87">
        <f t="shared" si="21"/>
        <v>0</v>
      </c>
      <c r="N143" s="87">
        <f t="shared" si="21"/>
        <v>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</sheetData>
  <mergeCells count="99">
    <mergeCell ref="F3:H4"/>
    <mergeCell ref="I3:K4"/>
    <mergeCell ref="L3:N4"/>
    <mergeCell ref="P3:P6"/>
    <mergeCell ref="L5:N5"/>
    <mergeCell ref="L7:N7"/>
    <mergeCell ref="P7:Q7"/>
    <mergeCell ref="R7:T7"/>
    <mergeCell ref="P2:U2"/>
    <mergeCell ref="R3:U4"/>
    <mergeCell ref="I5:K5"/>
    <mergeCell ref="R5:U5"/>
    <mergeCell ref="A1:N1"/>
    <mergeCell ref="P1:U1"/>
    <mergeCell ref="A2:N2"/>
    <mergeCell ref="A3:A6"/>
    <mergeCell ref="B3:B6"/>
    <mergeCell ref="C3:E4"/>
    <mergeCell ref="Q3:Q6"/>
    <mergeCell ref="C5:E5"/>
    <mergeCell ref="F5:H5"/>
    <mergeCell ref="A7:B7"/>
    <mergeCell ref="C7:E7"/>
    <mergeCell ref="F7:H7"/>
    <mergeCell ref="I7:K7"/>
    <mergeCell ref="P27:Q27"/>
    <mergeCell ref="C34:E34"/>
    <mergeCell ref="F34:H34"/>
    <mergeCell ref="I32:K33"/>
    <mergeCell ref="L32:N33"/>
    <mergeCell ref="I34:K34"/>
    <mergeCell ref="L34:N34"/>
    <mergeCell ref="A27:B27"/>
    <mergeCell ref="A30:N30"/>
    <mergeCell ref="A31:N31"/>
    <mergeCell ref="A32:A35"/>
    <mergeCell ref="B32:B35"/>
    <mergeCell ref="C32:E33"/>
    <mergeCell ref="F32:H33"/>
    <mergeCell ref="A36:B36"/>
    <mergeCell ref="C36:E36"/>
    <mergeCell ref="F36:H36"/>
    <mergeCell ref="I36:K36"/>
    <mergeCell ref="L36:N36"/>
    <mergeCell ref="A59:N59"/>
    <mergeCell ref="A60:N60"/>
    <mergeCell ref="I63:K63"/>
    <mergeCell ref="L63:N63"/>
    <mergeCell ref="A65:B65"/>
    <mergeCell ref="C65:E65"/>
    <mergeCell ref="F65:H65"/>
    <mergeCell ref="I65:K65"/>
    <mergeCell ref="L65:N65"/>
    <mergeCell ref="C90:E91"/>
    <mergeCell ref="F90:H91"/>
    <mergeCell ref="C63:E63"/>
    <mergeCell ref="F63:H63"/>
    <mergeCell ref="A85:B85"/>
    <mergeCell ref="A88:N88"/>
    <mergeCell ref="A89:N89"/>
    <mergeCell ref="A90:A93"/>
    <mergeCell ref="B90:B93"/>
    <mergeCell ref="I121:K121"/>
    <mergeCell ref="L121:N121"/>
    <mergeCell ref="A123:B123"/>
    <mergeCell ref="C123:E123"/>
    <mergeCell ref="F123:H123"/>
    <mergeCell ref="I123:K123"/>
    <mergeCell ref="L123:N123"/>
    <mergeCell ref="A143:B143"/>
    <mergeCell ref="C92:E92"/>
    <mergeCell ref="F92:H92"/>
    <mergeCell ref="A114:B114"/>
    <mergeCell ref="A117:N117"/>
    <mergeCell ref="A118:N118"/>
    <mergeCell ref="A119:A122"/>
    <mergeCell ref="B119:B122"/>
    <mergeCell ref="A56:B56"/>
    <mergeCell ref="A61:A64"/>
    <mergeCell ref="B61:B64"/>
    <mergeCell ref="C61:E62"/>
    <mergeCell ref="F61:H62"/>
    <mergeCell ref="I61:K62"/>
    <mergeCell ref="L61:N62"/>
    <mergeCell ref="I90:K91"/>
    <mergeCell ref="L90:N91"/>
    <mergeCell ref="I92:K92"/>
    <mergeCell ref="L92:N92"/>
    <mergeCell ref="A94:B94"/>
    <mergeCell ref="C94:E94"/>
    <mergeCell ref="F94:H94"/>
    <mergeCell ref="I94:K94"/>
    <mergeCell ref="L94:N94"/>
    <mergeCell ref="C119:E120"/>
    <mergeCell ref="F119:H120"/>
    <mergeCell ref="I119:K120"/>
    <mergeCell ref="L119:N120"/>
    <mergeCell ref="C121:E121"/>
    <mergeCell ref="F121:H121"/>
  </mergeCells>
  <conditionalFormatting sqref="N85">
    <cfRule type="cellIs" dxfId="0" priority="1" operator="equal">
      <formula>0</formula>
    </cfRule>
  </conditionalFormatting>
  <conditionalFormatting sqref="N85">
    <cfRule type="cellIs" dxfId="1" priority="2" operator="between">
      <formula>1</formula>
      <formula>2999</formula>
    </cfRule>
  </conditionalFormatting>
  <conditionalFormatting sqref="N85">
    <cfRule type="cellIs" dxfId="2" priority="3" operator="equal">
      <formula>3000</formula>
    </cfRule>
  </conditionalFormatting>
  <printOptions gridLines="1" horizontalCentered="1"/>
  <pageMargins bottom="0.75" footer="0.0" header="0.0" left="0.7" right="0.7" top="0.75"/>
  <pageSetup fitToHeight="0" paperSize="12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3" max="3" width="9.86"/>
    <col customWidth="1" min="4" max="4" width="10.86"/>
    <col customWidth="1" min="5" max="5" width="12.14"/>
    <col customWidth="1" min="6" max="6" width="13.29"/>
    <col customWidth="1" min="7" max="7" width="14.0"/>
    <col customWidth="1" min="8" max="8" width="13.29"/>
    <col customWidth="1" min="9" max="9" width="13.86"/>
    <col customWidth="1" min="10" max="10" width="12.0"/>
    <col customWidth="1" min="11" max="11" width="13.0"/>
    <col customWidth="1" min="12" max="12" width="10.86"/>
    <col customWidth="1" min="13" max="13" width="13.14"/>
    <col customWidth="1" min="14" max="14" width="14.57"/>
    <col customWidth="1" min="15" max="15" width="17.86"/>
    <col customWidth="1" min="16" max="16" width="9.86"/>
    <col customWidth="1" min="17" max="17" width="16.29"/>
    <col customWidth="1" min="20" max="21" width="16.14"/>
  </cols>
  <sheetData>
    <row r="1" ht="20.25" customHeight="1">
      <c r="A1" s="1" t="s">
        <v>362</v>
      </c>
      <c r="O1" s="2"/>
      <c r="P1" s="3" t="s">
        <v>1</v>
      </c>
      <c r="V1" s="4"/>
      <c r="W1" s="4"/>
      <c r="X1" s="4"/>
      <c r="Y1" s="4"/>
      <c r="Z1" s="4"/>
    </row>
    <row r="2" ht="20.25" customHeight="1">
      <c r="A2" s="1" t="s">
        <v>363</v>
      </c>
      <c r="O2" s="2"/>
      <c r="P2" s="3" t="s">
        <v>332</v>
      </c>
      <c r="V2" s="4"/>
      <c r="W2" s="4"/>
      <c r="X2" s="4"/>
      <c r="Y2" s="4"/>
      <c r="Z2" s="4"/>
    </row>
    <row r="3" ht="20.25" customHeight="1">
      <c r="A3" s="5" t="s">
        <v>4</v>
      </c>
      <c r="B3" s="5" t="s">
        <v>5</v>
      </c>
      <c r="C3" s="6" t="s">
        <v>6</v>
      </c>
      <c r="D3" s="7"/>
      <c r="E3" s="8"/>
      <c r="F3" s="9" t="s">
        <v>7</v>
      </c>
      <c r="G3" s="7"/>
      <c r="H3" s="8"/>
      <c r="I3" s="9" t="s">
        <v>8</v>
      </c>
      <c r="J3" s="7"/>
      <c r="K3" s="8"/>
      <c r="L3" s="9" t="s">
        <v>9</v>
      </c>
      <c r="M3" s="7"/>
      <c r="N3" s="8"/>
      <c r="O3" s="2"/>
      <c r="P3" s="10" t="s">
        <v>4</v>
      </c>
      <c r="Q3" s="10" t="s">
        <v>10</v>
      </c>
      <c r="R3" s="11" t="s">
        <v>11</v>
      </c>
      <c r="S3" s="7"/>
      <c r="T3" s="7"/>
      <c r="U3" s="8"/>
      <c r="V3" s="4"/>
      <c r="W3" s="4"/>
      <c r="X3" s="4"/>
      <c r="Y3" s="4"/>
      <c r="Z3" s="4"/>
    </row>
    <row r="4" ht="20.25" customHeight="1">
      <c r="A4" s="12"/>
      <c r="B4" s="12"/>
      <c r="E4" s="13"/>
      <c r="F4" s="14"/>
      <c r="G4" s="15"/>
      <c r="H4" s="16"/>
      <c r="I4" s="14"/>
      <c r="J4" s="15"/>
      <c r="K4" s="16"/>
      <c r="L4" s="14"/>
      <c r="M4" s="15"/>
      <c r="N4" s="16"/>
      <c r="O4" s="2"/>
      <c r="P4" s="12"/>
      <c r="Q4" s="12"/>
      <c r="R4" s="14"/>
      <c r="S4" s="15"/>
      <c r="T4" s="15"/>
      <c r="U4" s="16"/>
      <c r="V4" s="4"/>
      <c r="W4" s="4"/>
      <c r="X4" s="4"/>
      <c r="Y4" s="4"/>
      <c r="Z4" s="4"/>
    </row>
    <row r="5" ht="20.25" customHeight="1">
      <c r="A5" s="12"/>
      <c r="B5" s="12"/>
      <c r="C5" s="592" t="s">
        <v>198</v>
      </c>
      <c r="D5" s="7"/>
      <c r="E5" s="8"/>
      <c r="F5" s="592" t="s">
        <v>198</v>
      </c>
      <c r="G5" s="7"/>
      <c r="H5" s="8"/>
      <c r="I5" s="592" t="s">
        <v>198</v>
      </c>
      <c r="J5" s="7"/>
      <c r="K5" s="8"/>
      <c r="L5" s="592" t="s">
        <v>198</v>
      </c>
      <c r="M5" s="7"/>
      <c r="N5" s="8"/>
      <c r="O5" s="2"/>
      <c r="P5" s="12"/>
      <c r="Q5" s="12"/>
      <c r="R5" s="593" t="s">
        <v>199</v>
      </c>
      <c r="S5" s="20"/>
      <c r="T5" s="20"/>
      <c r="U5" s="21"/>
      <c r="V5" s="4"/>
      <c r="W5" s="4"/>
      <c r="X5" s="4"/>
      <c r="Y5" s="4"/>
      <c r="Z5" s="4"/>
    </row>
    <row r="6" ht="20.25" customHeight="1">
      <c r="A6" s="22"/>
      <c r="B6" s="22"/>
      <c r="C6" s="23" t="s">
        <v>13</v>
      </c>
      <c r="D6" s="23" t="s">
        <v>14</v>
      </c>
      <c r="E6" s="24" t="s">
        <v>15</v>
      </c>
      <c r="F6" s="23" t="s">
        <v>13</v>
      </c>
      <c r="G6" s="23" t="s">
        <v>14</v>
      </c>
      <c r="H6" s="24" t="s">
        <v>15</v>
      </c>
      <c r="I6" s="23" t="s">
        <v>13</v>
      </c>
      <c r="J6" s="23" t="s">
        <v>14</v>
      </c>
      <c r="K6" s="24" t="s">
        <v>15</v>
      </c>
      <c r="L6" s="23" t="s">
        <v>13</v>
      </c>
      <c r="M6" s="23" t="s">
        <v>14</v>
      </c>
      <c r="N6" s="24" t="s">
        <v>15</v>
      </c>
      <c r="O6" s="2"/>
      <c r="P6" s="22"/>
      <c r="Q6" s="22"/>
      <c r="R6" s="25" t="s">
        <v>13</v>
      </c>
      <c r="S6" s="25" t="s">
        <v>14</v>
      </c>
      <c r="T6" s="25" t="s">
        <v>15</v>
      </c>
      <c r="U6" s="26" t="s">
        <v>16</v>
      </c>
      <c r="V6" s="4"/>
      <c r="W6" s="4"/>
      <c r="X6" s="4"/>
      <c r="Y6" s="4"/>
      <c r="Z6" s="4"/>
    </row>
    <row r="7" ht="20.25" customHeight="1">
      <c r="A7" s="57"/>
      <c r="B7" s="21"/>
      <c r="C7" s="72"/>
      <c r="D7" s="20"/>
      <c r="E7" s="21"/>
      <c r="F7" s="74"/>
      <c r="G7" s="20"/>
      <c r="H7" s="21"/>
      <c r="I7" s="74"/>
      <c r="J7" s="20"/>
      <c r="K7" s="20"/>
      <c r="L7" s="74"/>
      <c r="M7" s="20"/>
      <c r="N7" s="21"/>
      <c r="O7" s="44"/>
      <c r="P7" s="57"/>
      <c r="Q7" s="21"/>
      <c r="R7" s="114"/>
      <c r="S7" s="20"/>
      <c r="T7" s="21"/>
      <c r="U7" s="594"/>
      <c r="V7" s="4"/>
      <c r="W7" s="4"/>
      <c r="X7" s="4"/>
      <c r="Y7" s="4"/>
      <c r="Z7" s="4"/>
    </row>
    <row r="8" ht="20.25" customHeight="1">
      <c r="A8" s="29">
        <v>1.0</v>
      </c>
      <c r="B8" s="30" t="s">
        <v>17</v>
      </c>
      <c r="C8" s="31">
        <v>8100.0</v>
      </c>
      <c r="D8" s="31"/>
      <c r="E8" s="654">
        <f t="shared" ref="E8:E26" si="1">SUM(C8-D8)</f>
        <v>8100</v>
      </c>
      <c r="F8" s="33">
        <v>1425.0</v>
      </c>
      <c r="G8" s="31"/>
      <c r="H8" s="654">
        <f t="shared" ref="H8:H26" si="2">SUM(F8-G8)</f>
        <v>1425</v>
      </c>
      <c r="I8" s="34">
        <v>39000.0</v>
      </c>
      <c r="J8" s="75"/>
      <c r="K8" s="654">
        <f t="shared" ref="K8:K26" si="3">SUM(I8-J8)</f>
        <v>39000</v>
      </c>
      <c r="L8" s="595">
        <f>117200+56.63</f>
        <v>117256.63</v>
      </c>
      <c r="M8" s="54"/>
      <c r="N8" s="629">
        <f t="shared" ref="N8:N14" si="4">SUM(L8-M8)</f>
        <v>117256.63</v>
      </c>
      <c r="O8" s="38"/>
      <c r="P8" s="29">
        <v>1.0</v>
      </c>
      <c r="Q8" s="30" t="s">
        <v>17</v>
      </c>
      <c r="R8" s="596">
        <f>C8+F8+I8+L8+C37+F37+I37+L37+C66+F66+I66+L66+C95+F95+I95</f>
        <v>593054.78</v>
      </c>
      <c r="S8" s="597">
        <f>D8+G8+J8+M8+D37+G37+J37+M37+D66+G66+J66+M66+D95</f>
        <v>0</v>
      </c>
      <c r="T8" s="598">
        <f t="shared" ref="T8:T27" si="5">R8-S8</f>
        <v>593054.78</v>
      </c>
      <c r="U8" s="599">
        <f t="shared" ref="U8:U27" si="6">S8*100/R8</f>
        <v>0</v>
      </c>
      <c r="V8" s="4"/>
      <c r="W8" s="4"/>
      <c r="X8" s="4"/>
      <c r="Y8" s="4"/>
      <c r="Z8" s="4"/>
    </row>
    <row r="9" ht="20.25" customHeight="1">
      <c r="A9" s="29">
        <v>2.0</v>
      </c>
      <c r="B9" s="45" t="s">
        <v>18</v>
      </c>
      <c r="C9" s="46">
        <v>2000.0</v>
      </c>
      <c r="D9" s="31"/>
      <c r="E9" s="654">
        <f t="shared" si="1"/>
        <v>2000</v>
      </c>
      <c r="F9" s="47">
        <v>1800.0</v>
      </c>
      <c r="G9" s="31"/>
      <c r="H9" s="654">
        <f t="shared" si="2"/>
        <v>1800</v>
      </c>
      <c r="I9" s="34">
        <v>1500.0</v>
      </c>
      <c r="J9" s="48"/>
      <c r="K9" s="654">
        <f t="shared" si="3"/>
        <v>1500</v>
      </c>
      <c r="L9" s="49">
        <v>0.0</v>
      </c>
      <c r="M9" s="600">
        <v>0.0</v>
      </c>
      <c r="N9" s="51">
        <f t="shared" si="4"/>
        <v>0</v>
      </c>
      <c r="O9" s="38"/>
      <c r="P9" s="29">
        <v>2.0</v>
      </c>
      <c r="Q9" s="45" t="s">
        <v>18</v>
      </c>
      <c r="R9" s="596">
        <f t="shared" ref="R9:R26" si="7">C9+F9+I9+L9+C38+F38+I38+L38+C67+F67+I67+L67</f>
        <v>28340</v>
      </c>
      <c r="S9" s="596">
        <f t="shared" ref="S9:S26" si="8">D9+G9+J9+D38+G38+J38+M38+D67+G67+J67+M67</f>
        <v>0</v>
      </c>
      <c r="T9" s="598">
        <f t="shared" si="5"/>
        <v>28340</v>
      </c>
      <c r="U9" s="599">
        <f t="shared" si="6"/>
        <v>0</v>
      </c>
      <c r="V9" s="4"/>
      <c r="W9" s="4"/>
      <c r="X9" s="4"/>
      <c r="Y9" s="4"/>
      <c r="Z9" s="4"/>
    </row>
    <row r="10" ht="20.25" customHeight="1">
      <c r="A10" s="29">
        <v>3.0</v>
      </c>
      <c r="B10" s="30" t="s">
        <v>21</v>
      </c>
      <c r="C10" s="46">
        <v>1700.0</v>
      </c>
      <c r="D10" s="31"/>
      <c r="E10" s="654">
        <f t="shared" si="1"/>
        <v>1700</v>
      </c>
      <c r="F10" s="47">
        <v>1600.0</v>
      </c>
      <c r="G10" s="31"/>
      <c r="H10" s="654">
        <f t="shared" si="2"/>
        <v>1600</v>
      </c>
      <c r="I10" s="34">
        <v>1500.0</v>
      </c>
      <c r="J10" s="31"/>
      <c r="K10" s="654">
        <f t="shared" si="3"/>
        <v>1500</v>
      </c>
      <c r="L10" s="49">
        <v>0.0</v>
      </c>
      <c r="M10" s="600">
        <v>0.0</v>
      </c>
      <c r="N10" s="51">
        <f t="shared" si="4"/>
        <v>0</v>
      </c>
      <c r="O10" s="38"/>
      <c r="P10" s="29">
        <v>3.0</v>
      </c>
      <c r="Q10" s="30" t="s">
        <v>19</v>
      </c>
      <c r="R10" s="596">
        <f t="shared" si="7"/>
        <v>20640</v>
      </c>
      <c r="S10" s="596">
        <f t="shared" si="8"/>
        <v>0</v>
      </c>
      <c r="T10" s="598">
        <f t="shared" si="5"/>
        <v>20640</v>
      </c>
      <c r="U10" s="599">
        <f t="shared" si="6"/>
        <v>0</v>
      </c>
      <c r="V10" s="4"/>
      <c r="W10" s="4"/>
      <c r="X10" s="4"/>
      <c r="Y10" s="4"/>
      <c r="Z10" s="4"/>
    </row>
    <row r="11" ht="20.25" customHeight="1">
      <c r="A11" s="29">
        <v>4.0</v>
      </c>
      <c r="B11" s="601" t="s">
        <v>24</v>
      </c>
      <c r="C11" s="46">
        <v>1100.0</v>
      </c>
      <c r="D11" s="31"/>
      <c r="E11" s="654">
        <f t="shared" si="1"/>
        <v>1100</v>
      </c>
      <c r="F11" s="47">
        <v>1000.0</v>
      </c>
      <c r="G11" s="31"/>
      <c r="H11" s="654">
        <f t="shared" si="2"/>
        <v>1000</v>
      </c>
      <c r="I11" s="34">
        <v>1500.0</v>
      </c>
      <c r="J11" s="48"/>
      <c r="K11" s="654">
        <f t="shared" si="3"/>
        <v>1500</v>
      </c>
      <c r="L11" s="49">
        <v>0.0</v>
      </c>
      <c r="M11" s="600">
        <v>0.0</v>
      </c>
      <c r="N11" s="51">
        <f t="shared" si="4"/>
        <v>0</v>
      </c>
      <c r="O11" s="38"/>
      <c r="P11" s="29">
        <v>4.0</v>
      </c>
      <c r="Q11" s="30" t="s">
        <v>20</v>
      </c>
      <c r="R11" s="596">
        <f t="shared" si="7"/>
        <v>15840</v>
      </c>
      <c r="S11" s="596">
        <f t="shared" si="8"/>
        <v>0</v>
      </c>
      <c r="T11" s="598">
        <f t="shared" si="5"/>
        <v>15840</v>
      </c>
      <c r="U11" s="599">
        <f t="shared" si="6"/>
        <v>0</v>
      </c>
      <c r="V11" s="4"/>
      <c r="W11" s="4"/>
      <c r="X11" s="4"/>
      <c r="Y11" s="4"/>
      <c r="Z11" s="4"/>
    </row>
    <row r="12" ht="20.25" customHeight="1">
      <c r="A12" s="29">
        <v>5.0</v>
      </c>
      <c r="B12" s="601" t="s">
        <v>20</v>
      </c>
      <c r="C12" s="46">
        <v>1800.0</v>
      </c>
      <c r="D12" s="31"/>
      <c r="E12" s="654">
        <f t="shared" si="1"/>
        <v>1800</v>
      </c>
      <c r="F12" s="47">
        <v>1600.0</v>
      </c>
      <c r="G12" s="31"/>
      <c r="H12" s="654">
        <f t="shared" si="2"/>
        <v>1600</v>
      </c>
      <c r="I12" s="34">
        <v>2500.0</v>
      </c>
      <c r="J12" s="48"/>
      <c r="K12" s="654">
        <f t="shared" si="3"/>
        <v>2500</v>
      </c>
      <c r="L12" s="49">
        <v>0.0</v>
      </c>
      <c r="M12" s="600">
        <v>0.0</v>
      </c>
      <c r="N12" s="51">
        <f t="shared" si="4"/>
        <v>0</v>
      </c>
      <c r="O12" s="38"/>
      <c r="P12" s="29">
        <v>5.0</v>
      </c>
      <c r="Q12" s="30" t="s">
        <v>21</v>
      </c>
      <c r="R12" s="596">
        <f t="shared" si="7"/>
        <v>28940</v>
      </c>
      <c r="S12" s="596">
        <f t="shared" si="8"/>
        <v>0</v>
      </c>
      <c r="T12" s="598">
        <f t="shared" si="5"/>
        <v>28940</v>
      </c>
      <c r="U12" s="599">
        <f t="shared" si="6"/>
        <v>0</v>
      </c>
      <c r="V12" s="4"/>
      <c r="W12" s="4"/>
      <c r="X12" s="4"/>
      <c r="Y12" s="4"/>
      <c r="Z12" s="4"/>
    </row>
    <row r="13" ht="20.25" customHeight="1">
      <c r="A13" s="29">
        <v>6.0</v>
      </c>
      <c r="B13" s="601" t="s">
        <v>19</v>
      </c>
      <c r="C13" s="46">
        <v>2000.0</v>
      </c>
      <c r="D13" s="31"/>
      <c r="E13" s="654">
        <f t="shared" si="1"/>
        <v>2000</v>
      </c>
      <c r="F13" s="47">
        <v>1800.0</v>
      </c>
      <c r="G13" s="31"/>
      <c r="H13" s="654">
        <f t="shared" si="2"/>
        <v>1800</v>
      </c>
      <c r="I13" s="34">
        <v>2500.0</v>
      </c>
      <c r="J13" s="31"/>
      <c r="K13" s="654">
        <f t="shared" si="3"/>
        <v>2500</v>
      </c>
      <c r="L13" s="49">
        <v>0.0</v>
      </c>
      <c r="M13" s="600">
        <v>0.0</v>
      </c>
      <c r="N13" s="51">
        <f t="shared" si="4"/>
        <v>0</v>
      </c>
      <c r="O13" s="38"/>
      <c r="P13" s="29">
        <v>6.0</v>
      </c>
      <c r="Q13" s="30" t="s">
        <v>22</v>
      </c>
      <c r="R13" s="596">
        <f t="shared" si="7"/>
        <v>36540</v>
      </c>
      <c r="S13" s="596">
        <f t="shared" si="8"/>
        <v>0</v>
      </c>
      <c r="T13" s="598">
        <f t="shared" si="5"/>
        <v>36540</v>
      </c>
      <c r="U13" s="599">
        <f t="shared" si="6"/>
        <v>0</v>
      </c>
      <c r="V13" s="4"/>
      <c r="W13" s="4"/>
      <c r="X13" s="4"/>
      <c r="Y13" s="4"/>
      <c r="Z13" s="4"/>
    </row>
    <row r="14" ht="20.25" customHeight="1">
      <c r="A14" s="29">
        <v>7.0</v>
      </c>
      <c r="B14" s="601" t="s">
        <v>23</v>
      </c>
      <c r="C14" s="46">
        <v>1300.0</v>
      </c>
      <c r="D14" s="31"/>
      <c r="E14" s="654">
        <f t="shared" si="1"/>
        <v>1300</v>
      </c>
      <c r="F14" s="47">
        <v>1100.0</v>
      </c>
      <c r="G14" s="31"/>
      <c r="H14" s="654">
        <f t="shared" si="2"/>
        <v>1100</v>
      </c>
      <c r="I14" s="34">
        <v>1500.0</v>
      </c>
      <c r="J14" s="48"/>
      <c r="K14" s="654">
        <f t="shared" si="3"/>
        <v>1500</v>
      </c>
      <c r="L14" s="49">
        <v>0.0</v>
      </c>
      <c r="M14" s="600">
        <v>0.0</v>
      </c>
      <c r="N14" s="51">
        <f t="shared" si="4"/>
        <v>0</v>
      </c>
      <c r="O14" s="38"/>
      <c r="P14" s="29">
        <v>7.0</v>
      </c>
      <c r="Q14" s="30" t="s">
        <v>24</v>
      </c>
      <c r="R14" s="596">
        <f t="shared" si="7"/>
        <v>19740</v>
      </c>
      <c r="S14" s="596">
        <f t="shared" si="8"/>
        <v>0</v>
      </c>
      <c r="T14" s="598">
        <f t="shared" si="5"/>
        <v>19740</v>
      </c>
      <c r="U14" s="599">
        <f t="shared" si="6"/>
        <v>0</v>
      </c>
      <c r="V14" s="4"/>
      <c r="W14" s="4"/>
      <c r="X14" s="4"/>
      <c r="Y14" s="4"/>
      <c r="Z14" s="4"/>
    </row>
    <row r="15" ht="20.25" customHeight="1">
      <c r="A15" s="29">
        <v>8.0</v>
      </c>
      <c r="B15" s="601" t="s">
        <v>26</v>
      </c>
      <c r="C15" s="46">
        <v>1100.0</v>
      </c>
      <c r="D15" s="31"/>
      <c r="E15" s="654">
        <f t="shared" si="1"/>
        <v>1100</v>
      </c>
      <c r="F15" s="47">
        <v>1000.0</v>
      </c>
      <c r="G15" s="31"/>
      <c r="H15" s="654">
        <f t="shared" si="2"/>
        <v>1000</v>
      </c>
      <c r="I15" s="34">
        <v>1500.0</v>
      </c>
      <c r="J15" s="48"/>
      <c r="K15" s="654">
        <f t="shared" si="3"/>
        <v>1500</v>
      </c>
      <c r="L15" s="49">
        <v>0.0</v>
      </c>
      <c r="M15" s="600">
        <v>0.0</v>
      </c>
      <c r="N15" s="51">
        <v>0.0</v>
      </c>
      <c r="O15" s="38"/>
      <c r="P15" s="29">
        <v>8.0</v>
      </c>
      <c r="Q15" s="30" t="s">
        <v>25</v>
      </c>
      <c r="R15" s="596">
        <f t="shared" si="7"/>
        <v>15840</v>
      </c>
      <c r="S15" s="596">
        <f t="shared" si="8"/>
        <v>0</v>
      </c>
      <c r="T15" s="598">
        <f t="shared" si="5"/>
        <v>15840</v>
      </c>
      <c r="U15" s="599">
        <f t="shared" si="6"/>
        <v>0</v>
      </c>
      <c r="V15" s="4"/>
      <c r="W15" s="4"/>
      <c r="X15" s="4"/>
      <c r="Y15" s="4"/>
      <c r="Z15" s="4"/>
    </row>
    <row r="16" ht="20.25" customHeight="1">
      <c r="A16" s="29">
        <v>9.0</v>
      </c>
      <c r="B16" s="601" t="s">
        <v>30</v>
      </c>
      <c r="C16" s="46">
        <v>1100.0</v>
      </c>
      <c r="D16" s="31"/>
      <c r="E16" s="654">
        <f t="shared" si="1"/>
        <v>1100</v>
      </c>
      <c r="F16" s="47">
        <v>1000.0</v>
      </c>
      <c r="G16" s="31"/>
      <c r="H16" s="654">
        <f t="shared" si="2"/>
        <v>1000</v>
      </c>
      <c r="I16" s="34">
        <v>1500.0</v>
      </c>
      <c r="J16" s="48"/>
      <c r="K16" s="654">
        <f t="shared" si="3"/>
        <v>1500</v>
      </c>
      <c r="L16" s="49">
        <v>0.0</v>
      </c>
      <c r="M16" s="600">
        <v>0.0</v>
      </c>
      <c r="N16" s="51">
        <f t="shared" ref="N16:N27" si="9">SUM(L16-M16)</f>
        <v>0</v>
      </c>
      <c r="O16" s="38"/>
      <c r="P16" s="29">
        <v>9.0</v>
      </c>
      <c r="Q16" s="30" t="s">
        <v>23</v>
      </c>
      <c r="R16" s="596">
        <f t="shared" si="7"/>
        <v>12240</v>
      </c>
      <c r="S16" s="596">
        <f t="shared" si="8"/>
        <v>0</v>
      </c>
      <c r="T16" s="598">
        <f t="shared" si="5"/>
        <v>12240</v>
      </c>
      <c r="U16" s="599">
        <f t="shared" si="6"/>
        <v>0</v>
      </c>
      <c r="V16" s="4"/>
      <c r="W16" s="4"/>
      <c r="X16" s="4"/>
      <c r="Y16" s="4"/>
      <c r="Z16" s="4"/>
    </row>
    <row r="17" ht="20.25" customHeight="1">
      <c r="A17" s="29">
        <v>10.0</v>
      </c>
      <c r="B17" s="601" t="s">
        <v>22</v>
      </c>
      <c r="C17" s="46">
        <v>1500.0</v>
      </c>
      <c r="D17" s="31"/>
      <c r="E17" s="654">
        <f t="shared" si="1"/>
        <v>1500</v>
      </c>
      <c r="F17" s="47">
        <v>1300.0</v>
      </c>
      <c r="G17" s="31"/>
      <c r="H17" s="654">
        <f t="shared" si="2"/>
        <v>1300</v>
      </c>
      <c r="I17" s="34">
        <v>3000.0</v>
      </c>
      <c r="J17" s="48"/>
      <c r="K17" s="654">
        <f t="shared" si="3"/>
        <v>3000</v>
      </c>
      <c r="L17" s="49">
        <v>0.0</v>
      </c>
      <c r="M17" s="600">
        <v>0.0</v>
      </c>
      <c r="N17" s="51">
        <f t="shared" si="9"/>
        <v>0</v>
      </c>
      <c r="O17" s="38"/>
      <c r="P17" s="29">
        <v>10.0</v>
      </c>
      <c r="Q17" s="30" t="s">
        <v>30</v>
      </c>
      <c r="R17" s="596">
        <f t="shared" si="7"/>
        <v>25240</v>
      </c>
      <c r="S17" s="596">
        <f t="shared" si="8"/>
        <v>0</v>
      </c>
      <c r="T17" s="598">
        <f t="shared" si="5"/>
        <v>25240</v>
      </c>
      <c r="U17" s="599">
        <f t="shared" si="6"/>
        <v>0</v>
      </c>
      <c r="V17" s="4"/>
      <c r="W17" s="4"/>
      <c r="X17" s="4"/>
      <c r="Y17" s="4"/>
      <c r="Z17" s="4"/>
    </row>
    <row r="18" ht="20.25" customHeight="1">
      <c r="A18" s="29">
        <v>11.0</v>
      </c>
      <c r="B18" s="601" t="s">
        <v>25</v>
      </c>
      <c r="C18" s="46">
        <v>1200.0</v>
      </c>
      <c r="D18" s="31"/>
      <c r="E18" s="654">
        <f t="shared" si="1"/>
        <v>1200</v>
      </c>
      <c r="F18" s="47">
        <v>1000.0</v>
      </c>
      <c r="G18" s="31"/>
      <c r="H18" s="654">
        <f t="shared" si="2"/>
        <v>1000</v>
      </c>
      <c r="I18" s="34">
        <v>1500.0</v>
      </c>
      <c r="J18" s="48"/>
      <c r="K18" s="654">
        <f t="shared" si="3"/>
        <v>1500</v>
      </c>
      <c r="L18" s="49">
        <v>0.0</v>
      </c>
      <c r="M18" s="600">
        <v>0.0</v>
      </c>
      <c r="N18" s="51">
        <f t="shared" si="9"/>
        <v>0</v>
      </c>
      <c r="O18" s="38"/>
      <c r="P18" s="29">
        <v>11.0</v>
      </c>
      <c r="Q18" s="30" t="s">
        <v>32</v>
      </c>
      <c r="R18" s="596">
        <f t="shared" si="7"/>
        <v>15940</v>
      </c>
      <c r="S18" s="596">
        <f t="shared" si="8"/>
        <v>0</v>
      </c>
      <c r="T18" s="598">
        <f t="shared" si="5"/>
        <v>15940</v>
      </c>
      <c r="U18" s="599">
        <f t="shared" si="6"/>
        <v>0</v>
      </c>
      <c r="V18" s="4"/>
      <c r="W18" s="4"/>
      <c r="X18" s="4"/>
      <c r="Y18" s="4"/>
      <c r="Z18" s="4"/>
    </row>
    <row r="19" ht="20.25" customHeight="1">
      <c r="A19" s="29">
        <v>12.0</v>
      </c>
      <c r="B19" s="601" t="s">
        <v>32</v>
      </c>
      <c r="C19" s="46">
        <v>1100.0</v>
      </c>
      <c r="D19" s="31"/>
      <c r="E19" s="654">
        <f t="shared" si="1"/>
        <v>1100</v>
      </c>
      <c r="F19" s="47">
        <v>1000.0</v>
      </c>
      <c r="G19" s="31"/>
      <c r="H19" s="654">
        <f t="shared" si="2"/>
        <v>1000</v>
      </c>
      <c r="I19" s="34">
        <v>2000.0</v>
      </c>
      <c r="J19" s="31"/>
      <c r="K19" s="654">
        <f t="shared" si="3"/>
        <v>2000</v>
      </c>
      <c r="L19" s="49">
        <v>0.0</v>
      </c>
      <c r="M19" s="600">
        <v>0.0</v>
      </c>
      <c r="N19" s="51">
        <f t="shared" si="9"/>
        <v>0</v>
      </c>
      <c r="O19" s="38"/>
      <c r="P19" s="29">
        <v>12.0</v>
      </c>
      <c r="Q19" s="30" t="s">
        <v>26</v>
      </c>
      <c r="R19" s="596">
        <f t="shared" si="7"/>
        <v>12740</v>
      </c>
      <c r="S19" s="596">
        <f t="shared" si="8"/>
        <v>0</v>
      </c>
      <c r="T19" s="598">
        <f t="shared" si="5"/>
        <v>12740</v>
      </c>
      <c r="U19" s="599">
        <f t="shared" si="6"/>
        <v>0</v>
      </c>
      <c r="V19" s="4"/>
      <c r="W19" s="4"/>
      <c r="X19" s="4"/>
      <c r="Y19" s="4"/>
      <c r="Z19" s="4"/>
    </row>
    <row r="20" ht="20.25" customHeight="1">
      <c r="A20" s="29">
        <v>13.0</v>
      </c>
      <c r="B20" s="601" t="s">
        <v>31</v>
      </c>
      <c r="C20" s="46">
        <v>1100.0</v>
      </c>
      <c r="D20" s="31"/>
      <c r="E20" s="654">
        <f t="shared" si="1"/>
        <v>1100</v>
      </c>
      <c r="F20" s="47">
        <v>1000.0</v>
      </c>
      <c r="G20" s="31"/>
      <c r="H20" s="654">
        <f t="shared" si="2"/>
        <v>1000</v>
      </c>
      <c r="I20" s="34">
        <v>2000.0</v>
      </c>
      <c r="J20" s="31"/>
      <c r="K20" s="654">
        <f t="shared" si="3"/>
        <v>2000</v>
      </c>
      <c r="L20" s="49">
        <v>0.0</v>
      </c>
      <c r="M20" s="600">
        <v>0.0</v>
      </c>
      <c r="N20" s="51">
        <f t="shared" si="9"/>
        <v>0</v>
      </c>
      <c r="O20" s="38"/>
      <c r="P20" s="29">
        <v>13.0</v>
      </c>
      <c r="Q20" s="30" t="s">
        <v>28</v>
      </c>
      <c r="R20" s="596">
        <f t="shared" si="7"/>
        <v>12740</v>
      </c>
      <c r="S20" s="596">
        <f t="shared" si="8"/>
        <v>0</v>
      </c>
      <c r="T20" s="598">
        <f t="shared" si="5"/>
        <v>12740</v>
      </c>
      <c r="U20" s="599">
        <f t="shared" si="6"/>
        <v>0</v>
      </c>
      <c r="V20" s="4"/>
      <c r="W20" s="4"/>
      <c r="X20" s="4"/>
      <c r="Y20" s="4"/>
      <c r="Z20" s="4"/>
    </row>
    <row r="21" ht="20.25" customHeight="1">
      <c r="A21" s="29">
        <v>14.0</v>
      </c>
      <c r="B21" s="601" t="s">
        <v>35</v>
      </c>
      <c r="C21" s="46">
        <v>1100.0</v>
      </c>
      <c r="D21" s="31"/>
      <c r="E21" s="654">
        <f t="shared" si="1"/>
        <v>1100</v>
      </c>
      <c r="F21" s="47">
        <v>1000.0</v>
      </c>
      <c r="G21" s="31"/>
      <c r="H21" s="654">
        <f t="shared" si="2"/>
        <v>1000</v>
      </c>
      <c r="I21" s="34">
        <v>1000.0</v>
      </c>
      <c r="J21" s="48"/>
      <c r="K21" s="654">
        <f t="shared" si="3"/>
        <v>1000</v>
      </c>
      <c r="L21" s="49">
        <v>0.0</v>
      </c>
      <c r="M21" s="600">
        <v>0.0</v>
      </c>
      <c r="N21" s="51">
        <f t="shared" si="9"/>
        <v>0</v>
      </c>
      <c r="O21" s="38"/>
      <c r="P21" s="29">
        <v>14.0</v>
      </c>
      <c r="Q21" s="30" t="s">
        <v>31</v>
      </c>
      <c r="R21" s="596">
        <f t="shared" si="7"/>
        <v>11740</v>
      </c>
      <c r="S21" s="596">
        <f t="shared" si="8"/>
        <v>0</v>
      </c>
      <c r="T21" s="598">
        <f t="shared" si="5"/>
        <v>11740</v>
      </c>
      <c r="U21" s="599">
        <f t="shared" si="6"/>
        <v>0</v>
      </c>
      <c r="V21" s="4"/>
      <c r="W21" s="4"/>
      <c r="X21" s="4"/>
      <c r="Y21" s="4"/>
      <c r="Z21" s="4"/>
    </row>
    <row r="22" ht="20.25" customHeight="1">
      <c r="A22" s="29">
        <v>15.0</v>
      </c>
      <c r="B22" s="602" t="s">
        <v>29</v>
      </c>
      <c r="C22" s="46">
        <v>1100.0</v>
      </c>
      <c r="D22" s="31"/>
      <c r="E22" s="654">
        <f t="shared" si="1"/>
        <v>1100</v>
      </c>
      <c r="F22" s="47">
        <v>1000.0</v>
      </c>
      <c r="G22" s="31"/>
      <c r="H22" s="654">
        <f t="shared" si="2"/>
        <v>1000</v>
      </c>
      <c r="I22" s="34">
        <v>1000.0</v>
      </c>
      <c r="J22" s="48"/>
      <c r="K22" s="654">
        <f t="shared" si="3"/>
        <v>1000</v>
      </c>
      <c r="L22" s="49">
        <v>0.0</v>
      </c>
      <c r="M22" s="600">
        <v>0.0</v>
      </c>
      <c r="N22" s="51">
        <f t="shared" si="9"/>
        <v>0</v>
      </c>
      <c r="O22" s="38"/>
      <c r="P22" s="29">
        <v>15.0</v>
      </c>
      <c r="Q22" s="55" t="s">
        <v>35</v>
      </c>
      <c r="R22" s="596">
        <f t="shared" si="7"/>
        <v>11740</v>
      </c>
      <c r="S22" s="596">
        <f t="shared" si="8"/>
        <v>0</v>
      </c>
      <c r="T22" s="598">
        <f t="shared" si="5"/>
        <v>11740</v>
      </c>
      <c r="U22" s="599">
        <f t="shared" si="6"/>
        <v>0</v>
      </c>
      <c r="V22" s="4"/>
      <c r="W22" s="4"/>
      <c r="X22" s="4"/>
      <c r="Y22" s="4"/>
      <c r="Z22" s="4"/>
    </row>
    <row r="23" ht="20.25" customHeight="1">
      <c r="A23" s="29">
        <v>16.0</v>
      </c>
      <c r="B23" s="601" t="s">
        <v>33</v>
      </c>
      <c r="C23" s="46">
        <v>1100.0</v>
      </c>
      <c r="D23" s="31"/>
      <c r="E23" s="654">
        <f t="shared" si="1"/>
        <v>1100</v>
      </c>
      <c r="F23" s="47">
        <v>1000.0</v>
      </c>
      <c r="G23" s="31"/>
      <c r="H23" s="654">
        <f t="shared" si="2"/>
        <v>1000</v>
      </c>
      <c r="I23" s="34">
        <v>1000.0</v>
      </c>
      <c r="J23" s="48"/>
      <c r="K23" s="654">
        <f t="shared" si="3"/>
        <v>1000</v>
      </c>
      <c r="L23" s="49">
        <v>0.0</v>
      </c>
      <c r="M23" s="600">
        <v>0.0</v>
      </c>
      <c r="N23" s="51">
        <f t="shared" si="9"/>
        <v>0</v>
      </c>
      <c r="O23" s="38"/>
      <c r="P23" s="29">
        <v>16.0</v>
      </c>
      <c r="Q23" s="30" t="s">
        <v>29</v>
      </c>
      <c r="R23" s="596">
        <f t="shared" si="7"/>
        <v>15340</v>
      </c>
      <c r="S23" s="596">
        <f t="shared" si="8"/>
        <v>0</v>
      </c>
      <c r="T23" s="598">
        <f t="shared" si="5"/>
        <v>15340</v>
      </c>
      <c r="U23" s="599">
        <f t="shared" si="6"/>
        <v>0</v>
      </c>
      <c r="V23" s="4"/>
      <c r="W23" s="4"/>
      <c r="X23" s="4"/>
      <c r="Y23" s="4"/>
      <c r="Z23" s="4"/>
    </row>
    <row r="24" ht="20.25" customHeight="1">
      <c r="A24" s="29">
        <v>17.0</v>
      </c>
      <c r="B24" s="601" t="s">
        <v>27</v>
      </c>
      <c r="C24" s="46">
        <v>1200.0</v>
      </c>
      <c r="D24" s="31"/>
      <c r="E24" s="654">
        <f t="shared" si="1"/>
        <v>1200</v>
      </c>
      <c r="F24" s="47">
        <v>1000.0</v>
      </c>
      <c r="G24" s="31"/>
      <c r="H24" s="654">
        <f t="shared" si="2"/>
        <v>1000</v>
      </c>
      <c r="I24" s="34">
        <v>2000.0</v>
      </c>
      <c r="J24" s="48"/>
      <c r="K24" s="654">
        <f t="shared" si="3"/>
        <v>2000</v>
      </c>
      <c r="L24" s="49">
        <v>0.0</v>
      </c>
      <c r="M24" s="600">
        <v>0.0</v>
      </c>
      <c r="N24" s="51">
        <f t="shared" si="9"/>
        <v>0</v>
      </c>
      <c r="O24" s="38"/>
      <c r="P24" s="29">
        <v>17.0</v>
      </c>
      <c r="Q24" s="30" t="s">
        <v>33</v>
      </c>
      <c r="R24" s="596">
        <f t="shared" si="7"/>
        <v>16440</v>
      </c>
      <c r="S24" s="596">
        <f t="shared" si="8"/>
        <v>0</v>
      </c>
      <c r="T24" s="598">
        <f t="shared" si="5"/>
        <v>16440</v>
      </c>
      <c r="U24" s="599">
        <f t="shared" si="6"/>
        <v>0</v>
      </c>
      <c r="V24" s="4"/>
      <c r="W24" s="4"/>
      <c r="X24" s="4"/>
      <c r="Y24" s="4"/>
      <c r="Z24" s="4"/>
    </row>
    <row r="25" ht="20.25" customHeight="1">
      <c r="A25" s="29">
        <v>18.0</v>
      </c>
      <c r="B25" s="601" t="s">
        <v>28</v>
      </c>
      <c r="C25" s="46">
        <v>1200.0</v>
      </c>
      <c r="D25" s="31"/>
      <c r="E25" s="654">
        <f t="shared" si="1"/>
        <v>1200</v>
      </c>
      <c r="F25" s="47">
        <v>1000.0</v>
      </c>
      <c r="G25" s="31"/>
      <c r="H25" s="654">
        <f t="shared" si="2"/>
        <v>1000</v>
      </c>
      <c r="I25" s="34">
        <v>1000.0</v>
      </c>
      <c r="J25" s="31"/>
      <c r="K25" s="654">
        <f t="shared" si="3"/>
        <v>1000</v>
      </c>
      <c r="L25" s="49">
        <v>0.0</v>
      </c>
      <c r="M25" s="600">
        <v>0.0</v>
      </c>
      <c r="N25" s="51">
        <f t="shared" si="9"/>
        <v>0</v>
      </c>
      <c r="O25" s="38"/>
      <c r="P25" s="29">
        <v>18.0</v>
      </c>
      <c r="Q25" s="30" t="s">
        <v>27</v>
      </c>
      <c r="R25" s="596">
        <f t="shared" si="7"/>
        <v>15440</v>
      </c>
      <c r="S25" s="596">
        <f t="shared" si="8"/>
        <v>0</v>
      </c>
      <c r="T25" s="598">
        <f t="shared" si="5"/>
        <v>15440</v>
      </c>
      <c r="U25" s="599">
        <f t="shared" si="6"/>
        <v>0</v>
      </c>
      <c r="V25" s="4"/>
      <c r="W25" s="4"/>
      <c r="X25" s="4"/>
      <c r="Y25" s="4"/>
      <c r="Z25" s="4"/>
    </row>
    <row r="26" ht="20.25" customHeight="1">
      <c r="A26" s="29">
        <v>19.0</v>
      </c>
      <c r="B26" s="30" t="s">
        <v>34</v>
      </c>
      <c r="C26" s="46">
        <v>1100.0</v>
      </c>
      <c r="D26" s="31"/>
      <c r="E26" s="654">
        <f t="shared" si="1"/>
        <v>1100</v>
      </c>
      <c r="F26" s="47">
        <v>1000.0</v>
      </c>
      <c r="G26" s="31"/>
      <c r="H26" s="654">
        <f t="shared" si="2"/>
        <v>1000</v>
      </c>
      <c r="I26" s="34">
        <v>1500.0</v>
      </c>
      <c r="J26" s="48"/>
      <c r="K26" s="654">
        <f t="shared" si="3"/>
        <v>1500</v>
      </c>
      <c r="L26" s="49">
        <v>0.0</v>
      </c>
      <c r="M26" s="600">
        <v>0.0</v>
      </c>
      <c r="N26" s="51">
        <f t="shared" si="9"/>
        <v>0</v>
      </c>
      <c r="O26" s="38"/>
      <c r="P26" s="29">
        <v>19.0</v>
      </c>
      <c r="Q26" s="30" t="s">
        <v>34</v>
      </c>
      <c r="R26" s="596">
        <f t="shared" si="7"/>
        <v>15840</v>
      </c>
      <c r="S26" s="596">
        <f t="shared" si="8"/>
        <v>0</v>
      </c>
      <c r="T26" s="598">
        <f t="shared" si="5"/>
        <v>15840</v>
      </c>
      <c r="U26" s="599">
        <f t="shared" si="6"/>
        <v>0</v>
      </c>
      <c r="V26" s="4"/>
      <c r="W26" s="4"/>
      <c r="X26" s="4"/>
      <c r="Y26" s="4"/>
      <c r="Z26" s="4"/>
    </row>
    <row r="27" ht="20.25" customHeight="1">
      <c r="A27" s="57" t="s">
        <v>36</v>
      </c>
      <c r="B27" s="21"/>
      <c r="C27" s="58">
        <f t="shared" ref="C27:M27" si="10">SUM(C8:C26)</f>
        <v>31900</v>
      </c>
      <c r="D27" s="58">
        <f t="shared" si="10"/>
        <v>0</v>
      </c>
      <c r="E27" s="632">
        <f t="shared" si="10"/>
        <v>31900</v>
      </c>
      <c r="F27" s="58">
        <f t="shared" si="10"/>
        <v>22625</v>
      </c>
      <c r="G27" s="58">
        <f t="shared" si="10"/>
        <v>0</v>
      </c>
      <c r="H27" s="632">
        <f t="shared" si="10"/>
        <v>22625</v>
      </c>
      <c r="I27" s="60">
        <f t="shared" si="10"/>
        <v>69000</v>
      </c>
      <c r="J27" s="61">
        <f t="shared" si="10"/>
        <v>0</v>
      </c>
      <c r="K27" s="632">
        <f t="shared" si="10"/>
        <v>69000</v>
      </c>
      <c r="L27" s="603">
        <f t="shared" si="10"/>
        <v>117256.63</v>
      </c>
      <c r="M27" s="603">
        <f t="shared" si="10"/>
        <v>0</v>
      </c>
      <c r="N27" s="629">
        <f t="shared" si="9"/>
        <v>117256.63</v>
      </c>
      <c r="O27" s="44"/>
      <c r="P27" s="57" t="s">
        <v>36</v>
      </c>
      <c r="Q27" s="21"/>
      <c r="R27" s="604">
        <f t="shared" ref="R27:S27" si="11">SUM(R8:R26)</f>
        <v>924374.78</v>
      </c>
      <c r="S27" s="597">
        <f t="shared" si="11"/>
        <v>0</v>
      </c>
      <c r="T27" s="598">
        <f t="shared" si="5"/>
        <v>924374.78</v>
      </c>
      <c r="U27" s="599">
        <f t="shared" si="6"/>
        <v>0</v>
      </c>
      <c r="V27" s="4"/>
      <c r="W27" s="4"/>
      <c r="X27" s="4"/>
      <c r="Y27" s="4"/>
      <c r="Z27" s="4"/>
    </row>
    <row r="28" ht="20.25" customHeight="1">
      <c r="A28" s="4"/>
      <c r="B28" s="4"/>
      <c r="C28" s="4"/>
      <c r="D28" s="4"/>
      <c r="E28" s="63"/>
      <c r="F28" s="4"/>
      <c r="G28" s="4"/>
      <c r="H28" s="63"/>
      <c r="I28" s="4"/>
      <c r="J28" s="4"/>
      <c r="K28" s="63"/>
      <c r="L28" s="4"/>
      <c r="M28" s="4"/>
      <c r="N28" s="6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4"/>
      <c r="B29" s="4"/>
      <c r="C29" s="4"/>
      <c r="D29" s="4"/>
      <c r="E29" s="63"/>
      <c r="F29" s="4"/>
      <c r="G29" s="4"/>
      <c r="H29" s="63"/>
      <c r="I29" s="4"/>
      <c r="J29" s="4"/>
      <c r="K29" s="63"/>
      <c r="L29" s="4"/>
      <c r="M29" s="4"/>
      <c r="N29" s="6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1" t="s">
        <v>362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" t="s">
        <v>363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606" t="s">
        <v>4</v>
      </c>
      <c r="B32" s="606" t="s">
        <v>5</v>
      </c>
      <c r="C32" s="65" t="s">
        <v>37</v>
      </c>
      <c r="D32" s="7"/>
      <c r="E32" s="8"/>
      <c r="F32" s="9" t="s">
        <v>38</v>
      </c>
      <c r="G32" s="7"/>
      <c r="H32" s="8"/>
      <c r="I32" s="66" t="s">
        <v>39</v>
      </c>
      <c r="J32" s="7"/>
      <c r="K32" s="8"/>
      <c r="L32" s="65" t="s">
        <v>40</v>
      </c>
      <c r="M32" s="7"/>
      <c r="N32" s="8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12"/>
      <c r="B33" s="12"/>
      <c r="E33" s="13"/>
      <c r="F33" s="14"/>
      <c r="G33" s="15"/>
      <c r="H33" s="16"/>
      <c r="I33" s="14"/>
      <c r="J33" s="15"/>
      <c r="K33" s="16"/>
      <c r="N33" s="1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12"/>
      <c r="B34" s="12"/>
      <c r="C34" s="592" t="s">
        <v>364</v>
      </c>
      <c r="D34" s="7"/>
      <c r="E34" s="8"/>
      <c r="F34" s="607" t="s">
        <v>199</v>
      </c>
      <c r="G34" s="7"/>
      <c r="H34" s="8"/>
      <c r="I34" s="592" t="s">
        <v>198</v>
      </c>
      <c r="J34" s="7"/>
      <c r="K34" s="8"/>
      <c r="L34" s="592" t="s">
        <v>365</v>
      </c>
      <c r="M34" s="7"/>
      <c r="N34" s="8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22"/>
      <c r="B35" s="22"/>
      <c r="C35" s="608" t="s">
        <v>13</v>
      </c>
      <c r="D35" s="608" t="s">
        <v>14</v>
      </c>
      <c r="E35" s="609" t="s">
        <v>15</v>
      </c>
      <c r="F35" s="608" t="s">
        <v>13</v>
      </c>
      <c r="G35" s="608" t="s">
        <v>14</v>
      </c>
      <c r="H35" s="609" t="s">
        <v>15</v>
      </c>
      <c r="I35" s="608" t="s">
        <v>13</v>
      </c>
      <c r="J35" s="608" t="s">
        <v>14</v>
      </c>
      <c r="K35" s="609" t="s">
        <v>15</v>
      </c>
      <c r="L35" s="608" t="s">
        <v>13</v>
      </c>
      <c r="M35" s="608" t="s">
        <v>14</v>
      </c>
      <c r="N35" s="609" t="s">
        <v>15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92"/>
      <c r="B36" s="21"/>
      <c r="C36" s="610"/>
      <c r="D36" s="20"/>
      <c r="E36" s="21"/>
      <c r="F36" s="73"/>
      <c r="G36" s="20"/>
      <c r="H36" s="21"/>
      <c r="I36" s="73"/>
      <c r="J36" s="20"/>
      <c r="K36" s="20"/>
      <c r="L36" s="114"/>
      <c r="M36" s="20"/>
      <c r="N36" s="2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29">
        <v>1.0</v>
      </c>
      <c r="B37" s="30" t="s">
        <v>17</v>
      </c>
      <c r="C37" s="31">
        <v>22320.0</v>
      </c>
      <c r="D37" s="75"/>
      <c r="E37" s="654">
        <f t="shared" ref="E37:E55" si="12">SUM(C37-D37)</f>
        <v>22320</v>
      </c>
      <c r="F37" s="95">
        <v>234600.0</v>
      </c>
      <c r="G37" s="95">
        <v>0.0</v>
      </c>
      <c r="H37" s="654">
        <f t="shared" ref="H37:H55" si="13">SUM(F37-G37)</f>
        <v>234600</v>
      </c>
      <c r="I37" s="76">
        <v>34975.0</v>
      </c>
      <c r="J37" s="612">
        <v>0.0</v>
      </c>
      <c r="K37" s="629">
        <f>SUM(I37-J37)</f>
        <v>34975</v>
      </c>
      <c r="L37" s="613">
        <f>5850+5850</f>
        <v>11700</v>
      </c>
      <c r="M37" s="614"/>
      <c r="N37" s="655">
        <f t="shared" ref="N37:N55" si="14">SUM(L37-M37)</f>
        <v>11700</v>
      </c>
      <c r="O37" s="616" t="s">
        <v>334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29">
        <v>2.0</v>
      </c>
      <c r="B38" s="45" t="s">
        <v>18</v>
      </c>
      <c r="C38" s="31">
        <v>23040.0</v>
      </c>
      <c r="D38" s="75"/>
      <c r="E38" s="654">
        <f t="shared" si="12"/>
        <v>23040</v>
      </c>
      <c r="F38" s="80">
        <v>0.0</v>
      </c>
      <c r="G38" s="80">
        <v>0.0</v>
      </c>
      <c r="H38" s="81">
        <f t="shared" si="13"/>
        <v>0</v>
      </c>
      <c r="I38" s="82"/>
      <c r="J38" s="83"/>
      <c r="K38" s="81"/>
      <c r="L38" s="80"/>
      <c r="M38" s="614"/>
      <c r="N38" s="615">
        <f t="shared" si="14"/>
        <v>0</v>
      </c>
      <c r="O38" s="103" t="s">
        <v>335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29">
        <v>3.0</v>
      </c>
      <c r="B39" s="30" t="s">
        <v>21</v>
      </c>
      <c r="C39" s="31">
        <v>15840.0</v>
      </c>
      <c r="D39" s="75"/>
      <c r="E39" s="654">
        <f t="shared" si="12"/>
        <v>15840</v>
      </c>
      <c r="F39" s="80">
        <v>0.0</v>
      </c>
      <c r="G39" s="80">
        <v>0.0</v>
      </c>
      <c r="H39" s="81">
        <f t="shared" si="13"/>
        <v>0</v>
      </c>
      <c r="I39" s="82"/>
      <c r="J39" s="83"/>
      <c r="K39" s="81"/>
      <c r="L39" s="80"/>
      <c r="M39" s="614"/>
      <c r="N39" s="615">
        <f t="shared" si="14"/>
        <v>0</v>
      </c>
      <c r="O39" s="103" t="s">
        <v>336</v>
      </c>
      <c r="P39" s="4"/>
      <c r="Q39" s="4"/>
      <c r="R39" s="4"/>
      <c r="S39" s="4"/>
      <c r="T39" s="4"/>
      <c r="U39" s="4"/>
      <c r="W39" s="4"/>
      <c r="X39" s="4"/>
      <c r="Y39" s="4"/>
      <c r="Z39" s="4"/>
    </row>
    <row r="40" ht="20.25" customHeight="1">
      <c r="A40" s="29">
        <v>4.0</v>
      </c>
      <c r="B40" s="601" t="s">
        <v>24</v>
      </c>
      <c r="C40" s="31">
        <v>12240.0</v>
      </c>
      <c r="D40" s="75"/>
      <c r="E40" s="654">
        <f t="shared" si="12"/>
        <v>12240</v>
      </c>
      <c r="F40" s="80">
        <v>0.0</v>
      </c>
      <c r="G40" s="80">
        <v>0.0</v>
      </c>
      <c r="H40" s="81">
        <f t="shared" si="13"/>
        <v>0</v>
      </c>
      <c r="I40" s="82"/>
      <c r="J40" s="83"/>
      <c r="K40" s="81"/>
      <c r="L40" s="80"/>
      <c r="M40" s="614"/>
      <c r="N40" s="615">
        <f t="shared" si="14"/>
        <v>0</v>
      </c>
      <c r="O40" s="103" t="s">
        <v>337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29">
        <v>5.0</v>
      </c>
      <c r="B41" s="601" t="s">
        <v>20</v>
      </c>
      <c r="C41" s="31">
        <v>23040.0</v>
      </c>
      <c r="D41" s="75"/>
      <c r="E41" s="654">
        <f t="shared" si="12"/>
        <v>23040</v>
      </c>
      <c r="F41" s="80">
        <v>0.0</v>
      </c>
      <c r="G41" s="80">
        <v>0.0</v>
      </c>
      <c r="H41" s="81">
        <f t="shared" si="13"/>
        <v>0</v>
      </c>
      <c r="I41" s="82"/>
      <c r="J41" s="83"/>
      <c r="K41" s="81"/>
      <c r="L41" s="80"/>
      <c r="M41" s="614"/>
      <c r="N41" s="615">
        <f t="shared" si="14"/>
        <v>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29">
        <v>6.0</v>
      </c>
      <c r="B42" s="601" t="s">
        <v>19</v>
      </c>
      <c r="C42" s="31">
        <v>30240.0</v>
      </c>
      <c r="D42" s="75"/>
      <c r="E42" s="654">
        <f t="shared" si="12"/>
        <v>30240</v>
      </c>
      <c r="F42" s="80">
        <v>0.0</v>
      </c>
      <c r="G42" s="80">
        <v>0.0</v>
      </c>
      <c r="H42" s="81">
        <f t="shared" si="13"/>
        <v>0</v>
      </c>
      <c r="I42" s="82"/>
      <c r="J42" s="83"/>
      <c r="K42" s="81"/>
      <c r="L42" s="614"/>
      <c r="M42" s="614"/>
      <c r="N42" s="615">
        <f t="shared" si="14"/>
        <v>0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customHeight="1">
      <c r="A43" s="29">
        <v>7.0</v>
      </c>
      <c r="B43" s="601" t="s">
        <v>23</v>
      </c>
      <c r="C43" s="31">
        <v>15840.0</v>
      </c>
      <c r="D43" s="75"/>
      <c r="E43" s="654">
        <f t="shared" si="12"/>
        <v>15840</v>
      </c>
      <c r="F43" s="80">
        <v>0.0</v>
      </c>
      <c r="G43" s="80">
        <v>0.0</v>
      </c>
      <c r="H43" s="81">
        <f t="shared" si="13"/>
        <v>0</v>
      </c>
      <c r="I43" s="82"/>
      <c r="J43" s="83"/>
      <c r="K43" s="81"/>
      <c r="L43" s="614"/>
      <c r="M43" s="614"/>
      <c r="N43" s="615">
        <f t="shared" si="14"/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customHeight="1">
      <c r="A44" s="29">
        <v>8.0</v>
      </c>
      <c r="B44" s="601" t="s">
        <v>26</v>
      </c>
      <c r="C44" s="31">
        <v>12240.0</v>
      </c>
      <c r="D44" s="75"/>
      <c r="E44" s="654">
        <f t="shared" si="12"/>
        <v>12240</v>
      </c>
      <c r="F44" s="80">
        <v>0.0</v>
      </c>
      <c r="G44" s="80">
        <v>0.0</v>
      </c>
      <c r="H44" s="81">
        <f t="shared" si="13"/>
        <v>0</v>
      </c>
      <c r="I44" s="82"/>
      <c r="J44" s="83"/>
      <c r="K44" s="81"/>
      <c r="L44" s="80"/>
      <c r="M44" s="614"/>
      <c r="N44" s="615">
        <f t="shared" si="14"/>
        <v>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29">
        <v>9.0</v>
      </c>
      <c r="B45" s="601" t="s">
        <v>338</v>
      </c>
      <c r="C45" s="31">
        <v>8640.0</v>
      </c>
      <c r="D45" s="75"/>
      <c r="E45" s="654">
        <f t="shared" si="12"/>
        <v>8640</v>
      </c>
      <c r="F45" s="80">
        <v>0.0</v>
      </c>
      <c r="G45" s="80">
        <v>0.0</v>
      </c>
      <c r="H45" s="81">
        <f t="shared" si="13"/>
        <v>0</v>
      </c>
      <c r="I45" s="82"/>
      <c r="J45" s="83"/>
      <c r="K45" s="81"/>
      <c r="L45" s="80"/>
      <c r="M45" s="614"/>
      <c r="N45" s="615">
        <f t="shared" si="14"/>
        <v>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29">
        <v>10.0</v>
      </c>
      <c r="B46" s="601" t="s">
        <v>22</v>
      </c>
      <c r="C46" s="617">
        <v>19440.0</v>
      </c>
      <c r="D46" s="618"/>
      <c r="E46" s="656">
        <f t="shared" si="12"/>
        <v>19440</v>
      </c>
      <c r="F46" s="80">
        <v>0.0</v>
      </c>
      <c r="G46" s="80">
        <v>0.0</v>
      </c>
      <c r="H46" s="81">
        <f t="shared" si="13"/>
        <v>0</v>
      </c>
      <c r="I46" s="82"/>
      <c r="J46" s="83"/>
      <c r="K46" s="81"/>
      <c r="L46" s="614"/>
      <c r="M46" s="614"/>
      <c r="N46" s="615">
        <f t="shared" si="14"/>
        <v>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29">
        <v>11.0</v>
      </c>
      <c r="B47" s="601" t="s">
        <v>25</v>
      </c>
      <c r="C47" s="617">
        <v>12240.0</v>
      </c>
      <c r="D47" s="618"/>
      <c r="E47" s="656">
        <f t="shared" si="12"/>
        <v>12240</v>
      </c>
      <c r="F47" s="80">
        <v>0.0</v>
      </c>
      <c r="G47" s="80">
        <v>0.0</v>
      </c>
      <c r="H47" s="81">
        <f t="shared" si="13"/>
        <v>0</v>
      </c>
      <c r="I47" s="82"/>
      <c r="J47" s="83"/>
      <c r="K47" s="81"/>
      <c r="L47" s="80"/>
      <c r="M47" s="614"/>
      <c r="N47" s="615">
        <f t="shared" si="14"/>
        <v>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29">
        <v>12.0</v>
      </c>
      <c r="B48" s="601" t="s">
        <v>32</v>
      </c>
      <c r="C48" s="617">
        <v>8640.0</v>
      </c>
      <c r="D48" s="618"/>
      <c r="E48" s="656">
        <f t="shared" si="12"/>
        <v>8640</v>
      </c>
      <c r="F48" s="80">
        <v>0.0</v>
      </c>
      <c r="G48" s="80">
        <v>0.0</v>
      </c>
      <c r="H48" s="81">
        <f t="shared" si="13"/>
        <v>0</v>
      </c>
      <c r="I48" s="82"/>
      <c r="J48" s="83"/>
      <c r="K48" s="81"/>
      <c r="L48" s="80"/>
      <c r="M48" s="614"/>
      <c r="N48" s="615">
        <f t="shared" si="14"/>
        <v>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29">
        <v>13.0</v>
      </c>
      <c r="B49" s="601" t="s">
        <v>31</v>
      </c>
      <c r="C49" s="617">
        <v>8640.0</v>
      </c>
      <c r="D49" s="618"/>
      <c r="E49" s="656">
        <f t="shared" si="12"/>
        <v>8640</v>
      </c>
      <c r="F49" s="80">
        <v>0.0</v>
      </c>
      <c r="G49" s="80">
        <v>0.0</v>
      </c>
      <c r="H49" s="81">
        <f t="shared" si="13"/>
        <v>0</v>
      </c>
      <c r="I49" s="82"/>
      <c r="J49" s="83"/>
      <c r="K49" s="81"/>
      <c r="L49" s="80"/>
      <c r="M49" s="614"/>
      <c r="N49" s="615">
        <f t="shared" si="14"/>
        <v>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29">
        <v>14.0</v>
      </c>
      <c r="B50" s="601" t="s">
        <v>35</v>
      </c>
      <c r="C50" s="617">
        <v>8640.0</v>
      </c>
      <c r="D50" s="618"/>
      <c r="E50" s="656">
        <f t="shared" si="12"/>
        <v>8640</v>
      </c>
      <c r="F50" s="80">
        <v>0.0</v>
      </c>
      <c r="G50" s="80">
        <v>0.0</v>
      </c>
      <c r="H50" s="81">
        <f t="shared" si="13"/>
        <v>0</v>
      </c>
      <c r="I50" s="82"/>
      <c r="J50" s="83"/>
      <c r="K50" s="81"/>
      <c r="L50" s="80"/>
      <c r="M50" s="614"/>
      <c r="N50" s="615">
        <f t="shared" si="14"/>
        <v>0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29">
        <v>15.0</v>
      </c>
      <c r="B51" s="602" t="s">
        <v>29</v>
      </c>
      <c r="C51" s="617">
        <v>8640.0</v>
      </c>
      <c r="D51" s="618"/>
      <c r="E51" s="656">
        <f t="shared" si="12"/>
        <v>8640</v>
      </c>
      <c r="F51" s="80">
        <v>0.0</v>
      </c>
      <c r="G51" s="80">
        <v>0.0</v>
      </c>
      <c r="H51" s="81">
        <f t="shared" si="13"/>
        <v>0</v>
      </c>
      <c r="I51" s="82"/>
      <c r="J51" s="83"/>
      <c r="K51" s="81"/>
      <c r="L51" s="80"/>
      <c r="M51" s="614"/>
      <c r="N51" s="615">
        <f t="shared" si="14"/>
        <v>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29">
        <v>16.0</v>
      </c>
      <c r="B52" s="601" t="s">
        <v>33</v>
      </c>
      <c r="C52" s="617">
        <v>12240.0</v>
      </c>
      <c r="D52" s="618"/>
      <c r="E52" s="656">
        <f t="shared" si="12"/>
        <v>12240</v>
      </c>
      <c r="F52" s="80">
        <v>0.0</v>
      </c>
      <c r="G52" s="80">
        <v>0.0</v>
      </c>
      <c r="H52" s="81">
        <f t="shared" si="13"/>
        <v>0</v>
      </c>
      <c r="I52" s="82"/>
      <c r="J52" s="83"/>
      <c r="K52" s="81"/>
      <c r="L52" s="614"/>
      <c r="M52" s="614"/>
      <c r="N52" s="615">
        <f t="shared" si="14"/>
        <v>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29">
        <v>17.0</v>
      </c>
      <c r="B53" s="601" t="s">
        <v>27</v>
      </c>
      <c r="C53" s="617">
        <v>12240.0</v>
      </c>
      <c r="D53" s="618"/>
      <c r="E53" s="656">
        <f t="shared" si="12"/>
        <v>12240</v>
      </c>
      <c r="F53" s="80">
        <v>0.0</v>
      </c>
      <c r="G53" s="80">
        <v>0.0</v>
      </c>
      <c r="H53" s="81">
        <f t="shared" si="13"/>
        <v>0</v>
      </c>
      <c r="I53" s="82"/>
      <c r="J53" s="83"/>
      <c r="K53" s="81"/>
      <c r="L53" s="80"/>
      <c r="M53" s="614"/>
      <c r="N53" s="615">
        <f t="shared" si="14"/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29">
        <v>18.0</v>
      </c>
      <c r="B54" s="601" t="s">
        <v>28</v>
      </c>
      <c r="C54" s="617">
        <v>12240.0</v>
      </c>
      <c r="D54" s="618"/>
      <c r="E54" s="656">
        <f t="shared" si="12"/>
        <v>12240</v>
      </c>
      <c r="F54" s="80">
        <v>0.0</v>
      </c>
      <c r="G54" s="80">
        <v>0.0</v>
      </c>
      <c r="H54" s="81">
        <f t="shared" si="13"/>
        <v>0</v>
      </c>
      <c r="I54" s="82"/>
      <c r="J54" s="83"/>
      <c r="K54" s="81"/>
      <c r="L54" s="80"/>
      <c r="M54" s="614"/>
      <c r="N54" s="615">
        <f t="shared" si="14"/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29">
        <v>19.0</v>
      </c>
      <c r="B55" s="30" t="s">
        <v>34</v>
      </c>
      <c r="C55" s="617">
        <v>12240.0</v>
      </c>
      <c r="D55" s="618"/>
      <c r="E55" s="656">
        <f t="shared" si="12"/>
        <v>12240</v>
      </c>
      <c r="F55" s="80">
        <v>0.0</v>
      </c>
      <c r="G55" s="80">
        <v>0.0</v>
      </c>
      <c r="H55" s="81">
        <f t="shared" si="13"/>
        <v>0</v>
      </c>
      <c r="I55" s="82"/>
      <c r="J55" s="83"/>
      <c r="K55" s="81"/>
      <c r="L55" s="80"/>
      <c r="M55" s="614"/>
      <c r="N55" s="615">
        <f t="shared" si="14"/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57" t="s">
        <v>36</v>
      </c>
      <c r="B56" s="21"/>
      <c r="C56" s="58">
        <f t="shared" ref="C56:N56" si="15">SUM(C37:C55)</f>
        <v>278640</v>
      </c>
      <c r="D56" s="58">
        <f t="shared" si="15"/>
        <v>0</v>
      </c>
      <c r="E56" s="632">
        <f t="shared" si="15"/>
        <v>278640</v>
      </c>
      <c r="F56" s="60">
        <f t="shared" si="15"/>
        <v>234600</v>
      </c>
      <c r="G56" s="60">
        <f t="shared" si="15"/>
        <v>0</v>
      </c>
      <c r="H56" s="632">
        <f t="shared" si="15"/>
        <v>234600</v>
      </c>
      <c r="I56" s="60">
        <f t="shared" si="15"/>
        <v>34975</v>
      </c>
      <c r="J56" s="60">
        <f t="shared" si="15"/>
        <v>0</v>
      </c>
      <c r="K56" s="657">
        <f t="shared" si="15"/>
        <v>34975</v>
      </c>
      <c r="L56" s="603">
        <f t="shared" si="15"/>
        <v>11700</v>
      </c>
      <c r="M56" s="621">
        <f t="shared" si="15"/>
        <v>0</v>
      </c>
      <c r="N56" s="658">
        <f t="shared" si="15"/>
        <v>11700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4"/>
      <c r="B57" s="4"/>
      <c r="C57" s="4"/>
      <c r="D57" s="4"/>
      <c r="E57" s="63"/>
      <c r="F57" s="4"/>
      <c r="G57" s="4"/>
      <c r="H57" s="63"/>
      <c r="I57" s="4"/>
      <c r="J57" s="4"/>
      <c r="K57" s="63"/>
      <c r="L57" s="4"/>
      <c r="M57" s="4"/>
      <c r="N57" s="6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4"/>
      <c r="B58" s="4"/>
      <c r="C58" s="4"/>
      <c r="D58" s="4"/>
      <c r="E58" s="63"/>
      <c r="F58" s="4"/>
      <c r="G58" s="4"/>
      <c r="H58" s="63"/>
      <c r="I58" s="4"/>
      <c r="J58" s="4"/>
      <c r="K58" s="63"/>
      <c r="L58" s="4"/>
      <c r="M58" s="4"/>
      <c r="N58" s="6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1" t="s">
        <v>362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1" t="s">
        <v>363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5" t="s">
        <v>4</v>
      </c>
      <c r="B61" s="5" t="s">
        <v>5</v>
      </c>
      <c r="C61" s="89" t="s">
        <v>339</v>
      </c>
      <c r="D61" s="7"/>
      <c r="E61" s="8"/>
      <c r="F61" s="9" t="s">
        <v>56</v>
      </c>
      <c r="G61" s="7"/>
      <c r="H61" s="8"/>
      <c r="I61" s="66" t="s">
        <v>39</v>
      </c>
      <c r="J61" s="7"/>
      <c r="K61" s="8"/>
      <c r="L61" s="659"/>
      <c r="M61" s="7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12"/>
      <c r="B62" s="12"/>
      <c r="C62" s="14"/>
      <c r="D62" s="15"/>
      <c r="E62" s="16"/>
      <c r="F62" s="14"/>
      <c r="G62" s="15"/>
      <c r="H62" s="16"/>
      <c r="I62" s="14"/>
      <c r="J62" s="15"/>
      <c r="K62" s="16"/>
      <c r="L62" s="14"/>
      <c r="M62" s="15"/>
      <c r="N62" s="1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12"/>
      <c r="B63" s="12"/>
      <c r="C63" s="592" t="s">
        <v>364</v>
      </c>
      <c r="D63" s="7"/>
      <c r="E63" s="8"/>
      <c r="F63" s="592" t="s">
        <v>364</v>
      </c>
      <c r="G63" s="7"/>
      <c r="H63" s="8"/>
      <c r="I63" s="592" t="s">
        <v>364</v>
      </c>
      <c r="J63" s="7"/>
      <c r="K63" s="8"/>
      <c r="L63" s="17" t="s">
        <v>199</v>
      </c>
      <c r="M63" s="7"/>
      <c r="N63" s="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22"/>
      <c r="B64" s="22"/>
      <c r="C64" s="23" t="s">
        <v>13</v>
      </c>
      <c r="D64" s="23" t="s">
        <v>14</v>
      </c>
      <c r="E64" s="24" t="s">
        <v>15</v>
      </c>
      <c r="F64" s="23" t="s">
        <v>13</v>
      </c>
      <c r="G64" s="23" t="s">
        <v>14</v>
      </c>
      <c r="H64" s="24" t="s">
        <v>15</v>
      </c>
      <c r="I64" s="23" t="s">
        <v>13</v>
      </c>
      <c r="J64" s="23" t="s">
        <v>14</v>
      </c>
      <c r="K64" s="24" t="s">
        <v>15</v>
      </c>
      <c r="L64" s="23" t="s">
        <v>13</v>
      </c>
      <c r="M64" s="23" t="s">
        <v>14</v>
      </c>
      <c r="N64" s="24" t="s">
        <v>15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92"/>
      <c r="B65" s="21"/>
      <c r="C65" s="73"/>
      <c r="D65" s="20"/>
      <c r="E65" s="21"/>
      <c r="F65" s="73"/>
      <c r="G65" s="20"/>
      <c r="H65" s="20"/>
      <c r="I65" s="73"/>
      <c r="J65" s="20"/>
      <c r="K65" s="20"/>
      <c r="L65" s="73"/>
      <c r="M65" s="20"/>
      <c r="N65" s="2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29">
        <v>1.0</v>
      </c>
      <c r="B66" s="30" t="s">
        <v>17</v>
      </c>
      <c r="C66" s="76">
        <v>30000.0</v>
      </c>
      <c r="D66" s="624">
        <v>0.0</v>
      </c>
      <c r="E66" s="660">
        <f>SUM(C66-D66)</f>
        <v>30000</v>
      </c>
      <c r="F66" s="95">
        <v>84000.0</v>
      </c>
      <c r="G66" s="95">
        <v>0.0</v>
      </c>
      <c r="H66" s="654">
        <f>SUM(F66-G66)</f>
        <v>84000</v>
      </c>
      <c r="I66" s="661">
        <v>9678.15</v>
      </c>
      <c r="J66" s="662">
        <v>0.0</v>
      </c>
      <c r="K66" s="629">
        <f>SUM(I66-J66)</f>
        <v>9678.15</v>
      </c>
      <c r="L66" s="76">
        <v>0.0</v>
      </c>
      <c r="M66" s="95">
        <v>0.0</v>
      </c>
      <c r="N66" s="81">
        <f>SUM(L66-M66)</f>
        <v>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29">
        <v>2.0</v>
      </c>
      <c r="B67" s="45"/>
      <c r="C67" s="96">
        <v>0.0</v>
      </c>
      <c r="D67" s="96">
        <v>0.0</v>
      </c>
      <c r="E67" s="97">
        <v>0.0</v>
      </c>
      <c r="F67" s="96">
        <v>0.0</v>
      </c>
      <c r="G67" s="96">
        <v>0.0</v>
      </c>
      <c r="H67" s="97">
        <v>0.0</v>
      </c>
      <c r="I67" s="96">
        <v>0.0</v>
      </c>
      <c r="J67" s="96">
        <v>0.0</v>
      </c>
      <c r="K67" s="97">
        <v>0.0</v>
      </c>
      <c r="L67" s="96">
        <v>0.0</v>
      </c>
      <c r="M67" s="96">
        <v>0.0</v>
      </c>
      <c r="N67" s="97">
        <v>0.0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29">
        <v>3.0</v>
      </c>
      <c r="B68" s="30"/>
      <c r="C68" s="96">
        <v>0.0</v>
      </c>
      <c r="D68" s="96">
        <v>0.0</v>
      </c>
      <c r="E68" s="97">
        <v>0.0</v>
      </c>
      <c r="F68" s="96">
        <v>0.0</v>
      </c>
      <c r="G68" s="96">
        <v>0.0</v>
      </c>
      <c r="H68" s="97">
        <v>0.0</v>
      </c>
      <c r="I68" s="96">
        <v>0.0</v>
      </c>
      <c r="J68" s="96">
        <v>0.0</v>
      </c>
      <c r="K68" s="97">
        <v>0.0</v>
      </c>
      <c r="L68" s="96">
        <v>0.0</v>
      </c>
      <c r="M68" s="96">
        <v>0.0</v>
      </c>
      <c r="N68" s="97">
        <v>0.0</v>
      </c>
      <c r="O68" s="4"/>
      <c r="P68" s="4"/>
      <c r="Q68" s="625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29">
        <v>4.0</v>
      </c>
      <c r="B69" s="30"/>
      <c r="C69" s="96">
        <v>0.0</v>
      </c>
      <c r="D69" s="96">
        <v>0.0</v>
      </c>
      <c r="E69" s="97">
        <v>0.0</v>
      </c>
      <c r="F69" s="96">
        <v>0.0</v>
      </c>
      <c r="G69" s="96">
        <v>0.0</v>
      </c>
      <c r="H69" s="97">
        <v>0.0</v>
      </c>
      <c r="I69" s="96">
        <v>0.0</v>
      </c>
      <c r="J69" s="96">
        <v>0.0</v>
      </c>
      <c r="K69" s="97">
        <v>0.0</v>
      </c>
      <c r="L69" s="96">
        <v>0.0</v>
      </c>
      <c r="M69" s="96">
        <v>0.0</v>
      </c>
      <c r="N69" s="97">
        <v>0.0</v>
      </c>
      <c r="O69" s="4"/>
      <c r="P69" s="4"/>
      <c r="Q69" s="625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29">
        <v>5.0</v>
      </c>
      <c r="B70" s="30"/>
      <c r="C70" s="96">
        <v>0.0</v>
      </c>
      <c r="D70" s="96">
        <v>0.0</v>
      </c>
      <c r="E70" s="97">
        <v>0.0</v>
      </c>
      <c r="F70" s="96">
        <v>0.0</v>
      </c>
      <c r="G70" s="96">
        <v>0.0</v>
      </c>
      <c r="H70" s="97">
        <v>0.0</v>
      </c>
      <c r="I70" s="96">
        <v>0.0</v>
      </c>
      <c r="J70" s="96">
        <v>0.0</v>
      </c>
      <c r="K70" s="97">
        <v>0.0</v>
      </c>
      <c r="L70" s="96">
        <v>0.0</v>
      </c>
      <c r="M70" s="96">
        <v>0.0</v>
      </c>
      <c r="N70" s="97">
        <v>0.0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29">
        <v>6.0</v>
      </c>
      <c r="B71" s="30"/>
      <c r="C71" s="96">
        <v>0.0</v>
      </c>
      <c r="D71" s="96">
        <v>0.0</v>
      </c>
      <c r="E71" s="97">
        <v>0.0</v>
      </c>
      <c r="F71" s="96">
        <v>0.0</v>
      </c>
      <c r="G71" s="96">
        <v>0.0</v>
      </c>
      <c r="H71" s="97">
        <v>0.0</v>
      </c>
      <c r="I71" s="96">
        <v>0.0</v>
      </c>
      <c r="J71" s="96">
        <v>0.0</v>
      </c>
      <c r="K71" s="97">
        <v>0.0</v>
      </c>
      <c r="L71" s="96">
        <v>0.0</v>
      </c>
      <c r="M71" s="96">
        <v>0.0</v>
      </c>
      <c r="N71" s="97">
        <v>0.0</v>
      </c>
      <c r="O71" s="4"/>
      <c r="P71" s="4"/>
      <c r="Q71" s="4"/>
      <c r="R71" s="626"/>
      <c r="S71" s="4"/>
      <c r="T71" s="4"/>
      <c r="U71" s="4"/>
      <c r="V71" s="4"/>
      <c r="W71" s="4"/>
      <c r="X71" s="4"/>
      <c r="Y71" s="4"/>
      <c r="Z71" s="4"/>
    </row>
    <row r="72" ht="20.25" customHeight="1">
      <c r="A72" s="29">
        <v>7.0</v>
      </c>
      <c r="B72" s="30"/>
      <c r="C72" s="96">
        <v>0.0</v>
      </c>
      <c r="D72" s="96">
        <v>0.0</v>
      </c>
      <c r="E72" s="97">
        <v>0.0</v>
      </c>
      <c r="F72" s="96">
        <v>0.0</v>
      </c>
      <c r="G72" s="96">
        <v>0.0</v>
      </c>
      <c r="H72" s="97">
        <v>0.0</v>
      </c>
      <c r="I72" s="96">
        <v>0.0</v>
      </c>
      <c r="J72" s="96">
        <v>0.0</v>
      </c>
      <c r="K72" s="97">
        <v>0.0</v>
      </c>
      <c r="L72" s="96">
        <v>0.0</v>
      </c>
      <c r="M72" s="96">
        <v>0.0</v>
      </c>
      <c r="N72" s="97">
        <v>0.0</v>
      </c>
      <c r="O72" s="4"/>
      <c r="P72" s="4"/>
      <c r="Q72" s="4"/>
      <c r="R72" s="626"/>
      <c r="S72" s="4"/>
      <c r="T72" s="4"/>
      <c r="U72" s="4"/>
      <c r="V72" s="4"/>
      <c r="W72" s="4"/>
      <c r="X72" s="4"/>
      <c r="Y72" s="4"/>
      <c r="Z72" s="4"/>
    </row>
    <row r="73" ht="20.25" customHeight="1">
      <c r="A73" s="29">
        <v>8.0</v>
      </c>
      <c r="B73" s="30"/>
      <c r="C73" s="96">
        <v>0.0</v>
      </c>
      <c r="D73" s="96">
        <v>0.0</v>
      </c>
      <c r="E73" s="97">
        <v>0.0</v>
      </c>
      <c r="F73" s="96">
        <v>0.0</v>
      </c>
      <c r="G73" s="96">
        <v>0.0</v>
      </c>
      <c r="H73" s="97">
        <v>0.0</v>
      </c>
      <c r="I73" s="96">
        <v>0.0</v>
      </c>
      <c r="J73" s="96">
        <v>0.0</v>
      </c>
      <c r="K73" s="97">
        <v>0.0</v>
      </c>
      <c r="L73" s="96">
        <v>0.0</v>
      </c>
      <c r="M73" s="96">
        <v>0.0</v>
      </c>
      <c r="N73" s="97">
        <v>0.0</v>
      </c>
      <c r="O73" s="4"/>
      <c r="P73" s="4"/>
      <c r="Q73" s="4"/>
      <c r="R73" s="626"/>
      <c r="S73" s="4"/>
      <c r="T73" s="4"/>
      <c r="U73" s="4"/>
      <c r="V73" s="4"/>
      <c r="W73" s="4"/>
      <c r="X73" s="4"/>
      <c r="Y73" s="4"/>
      <c r="Z73" s="4"/>
    </row>
    <row r="74" ht="20.25" customHeight="1">
      <c r="A74" s="29">
        <v>9.0</v>
      </c>
      <c r="B74" s="30"/>
      <c r="C74" s="96">
        <v>0.0</v>
      </c>
      <c r="D74" s="96">
        <v>0.0</v>
      </c>
      <c r="E74" s="97">
        <v>0.0</v>
      </c>
      <c r="F74" s="96">
        <v>0.0</v>
      </c>
      <c r="G74" s="96">
        <v>0.0</v>
      </c>
      <c r="H74" s="97">
        <v>0.0</v>
      </c>
      <c r="I74" s="96">
        <v>0.0</v>
      </c>
      <c r="J74" s="96">
        <v>0.0</v>
      </c>
      <c r="K74" s="97">
        <v>0.0</v>
      </c>
      <c r="L74" s="96">
        <v>0.0</v>
      </c>
      <c r="M74" s="96">
        <v>0.0</v>
      </c>
      <c r="N74" s="97">
        <v>0.0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0.25" customHeight="1">
      <c r="A75" s="29">
        <v>10.0</v>
      </c>
      <c r="B75" s="30"/>
      <c r="C75" s="96">
        <v>0.0</v>
      </c>
      <c r="D75" s="96">
        <v>0.0</v>
      </c>
      <c r="E75" s="97">
        <v>0.0</v>
      </c>
      <c r="F75" s="96">
        <v>0.0</v>
      </c>
      <c r="G75" s="96">
        <v>0.0</v>
      </c>
      <c r="H75" s="97">
        <v>0.0</v>
      </c>
      <c r="I75" s="96">
        <v>0.0</v>
      </c>
      <c r="J75" s="96">
        <v>0.0</v>
      </c>
      <c r="K75" s="97">
        <v>0.0</v>
      </c>
      <c r="L75" s="96">
        <v>0.0</v>
      </c>
      <c r="M75" s="96">
        <v>0.0</v>
      </c>
      <c r="N75" s="97">
        <v>0.0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29">
        <v>11.0</v>
      </c>
      <c r="B76" s="30"/>
      <c r="C76" s="96">
        <v>0.0</v>
      </c>
      <c r="D76" s="96">
        <v>0.0</v>
      </c>
      <c r="E76" s="97">
        <v>0.0</v>
      </c>
      <c r="F76" s="96">
        <v>0.0</v>
      </c>
      <c r="G76" s="96">
        <v>0.0</v>
      </c>
      <c r="H76" s="97">
        <v>0.0</v>
      </c>
      <c r="I76" s="96">
        <v>0.0</v>
      </c>
      <c r="J76" s="96">
        <v>0.0</v>
      </c>
      <c r="K76" s="97">
        <v>0.0</v>
      </c>
      <c r="L76" s="96">
        <v>0.0</v>
      </c>
      <c r="M76" s="96">
        <v>0.0</v>
      </c>
      <c r="N76" s="97">
        <v>0.0</v>
      </c>
      <c r="O76" s="4"/>
      <c r="P76" s="4"/>
      <c r="Q76" s="4"/>
      <c r="R76" s="626"/>
      <c r="S76" s="4"/>
      <c r="T76" s="4"/>
      <c r="U76" s="4"/>
      <c r="V76" s="4"/>
      <c r="W76" s="4"/>
      <c r="X76" s="4"/>
      <c r="Y76" s="4"/>
      <c r="Z76" s="4"/>
    </row>
    <row r="77" ht="20.25" customHeight="1">
      <c r="A77" s="29">
        <v>12.0</v>
      </c>
      <c r="B77" s="30"/>
      <c r="C77" s="96">
        <v>0.0</v>
      </c>
      <c r="D77" s="96">
        <v>0.0</v>
      </c>
      <c r="E77" s="97">
        <v>0.0</v>
      </c>
      <c r="F77" s="96">
        <v>0.0</v>
      </c>
      <c r="G77" s="96">
        <v>0.0</v>
      </c>
      <c r="H77" s="97">
        <v>0.0</v>
      </c>
      <c r="I77" s="96">
        <v>0.0</v>
      </c>
      <c r="J77" s="96">
        <v>0.0</v>
      </c>
      <c r="K77" s="97">
        <v>0.0</v>
      </c>
      <c r="L77" s="96">
        <v>0.0</v>
      </c>
      <c r="M77" s="96">
        <v>0.0</v>
      </c>
      <c r="N77" s="97">
        <v>0.0</v>
      </c>
      <c r="O77" s="4"/>
      <c r="P77" s="4"/>
      <c r="Q77" s="4"/>
      <c r="R77" s="626"/>
      <c r="S77" s="4"/>
      <c r="T77" s="4"/>
      <c r="U77" s="4"/>
      <c r="V77" s="4"/>
      <c r="W77" s="4"/>
      <c r="X77" s="4"/>
      <c r="Y77" s="4"/>
      <c r="Z77" s="4"/>
    </row>
    <row r="78" ht="20.25" customHeight="1">
      <c r="A78" s="29">
        <v>13.0</v>
      </c>
      <c r="B78" s="30"/>
      <c r="C78" s="96">
        <v>0.0</v>
      </c>
      <c r="D78" s="96">
        <v>0.0</v>
      </c>
      <c r="E78" s="97">
        <v>0.0</v>
      </c>
      <c r="F78" s="96">
        <v>0.0</v>
      </c>
      <c r="G78" s="96">
        <v>0.0</v>
      </c>
      <c r="H78" s="97">
        <v>0.0</v>
      </c>
      <c r="I78" s="96">
        <v>0.0</v>
      </c>
      <c r="J78" s="96">
        <v>0.0</v>
      </c>
      <c r="K78" s="97">
        <v>0.0</v>
      </c>
      <c r="L78" s="96">
        <v>0.0</v>
      </c>
      <c r="M78" s="96">
        <v>0.0</v>
      </c>
      <c r="N78" s="97">
        <v>0.0</v>
      </c>
      <c r="O78" s="4"/>
      <c r="P78" s="4"/>
      <c r="Q78" s="4"/>
      <c r="R78" s="626"/>
      <c r="S78" s="4"/>
      <c r="T78" s="4"/>
      <c r="U78" s="4"/>
      <c r="V78" s="4"/>
      <c r="W78" s="4"/>
      <c r="X78" s="4"/>
      <c r="Y78" s="4"/>
      <c r="Z78" s="4"/>
    </row>
    <row r="79" ht="20.25" customHeight="1">
      <c r="A79" s="29">
        <v>14.0</v>
      </c>
      <c r="B79" s="30"/>
      <c r="C79" s="96">
        <v>0.0</v>
      </c>
      <c r="D79" s="96">
        <v>0.0</v>
      </c>
      <c r="E79" s="97">
        <v>0.0</v>
      </c>
      <c r="F79" s="96">
        <v>0.0</v>
      </c>
      <c r="G79" s="96">
        <v>0.0</v>
      </c>
      <c r="H79" s="97">
        <v>0.0</v>
      </c>
      <c r="I79" s="96">
        <v>0.0</v>
      </c>
      <c r="J79" s="96">
        <v>0.0</v>
      </c>
      <c r="K79" s="97">
        <v>0.0</v>
      </c>
      <c r="L79" s="96">
        <v>0.0</v>
      </c>
      <c r="M79" s="96">
        <v>0.0</v>
      </c>
      <c r="N79" s="97">
        <v>0.0</v>
      </c>
      <c r="O79" s="4"/>
      <c r="P79" s="4"/>
      <c r="Q79" s="4"/>
      <c r="R79" s="626"/>
      <c r="S79" s="4"/>
      <c r="T79" s="4"/>
      <c r="U79" s="4"/>
      <c r="V79" s="4"/>
      <c r="W79" s="4"/>
      <c r="X79" s="4"/>
      <c r="Y79" s="4"/>
      <c r="Z79" s="4"/>
    </row>
    <row r="80" ht="20.25" customHeight="1">
      <c r="A80" s="29">
        <v>15.0</v>
      </c>
      <c r="B80" s="55"/>
      <c r="C80" s="96">
        <v>0.0</v>
      </c>
      <c r="D80" s="96">
        <v>0.0</v>
      </c>
      <c r="E80" s="97">
        <v>0.0</v>
      </c>
      <c r="F80" s="96">
        <v>0.0</v>
      </c>
      <c r="G80" s="96">
        <v>0.0</v>
      </c>
      <c r="H80" s="97">
        <v>0.0</v>
      </c>
      <c r="I80" s="96">
        <v>0.0</v>
      </c>
      <c r="J80" s="96">
        <v>0.0</v>
      </c>
      <c r="K80" s="97">
        <v>0.0</v>
      </c>
      <c r="L80" s="96">
        <v>0.0</v>
      </c>
      <c r="M80" s="96">
        <v>0.0</v>
      </c>
      <c r="N80" s="97">
        <v>0.0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0.25" customHeight="1">
      <c r="A81" s="29">
        <v>16.0</v>
      </c>
      <c r="B81" s="30"/>
      <c r="C81" s="96">
        <v>0.0</v>
      </c>
      <c r="D81" s="96">
        <v>0.0</v>
      </c>
      <c r="E81" s="97">
        <v>0.0</v>
      </c>
      <c r="F81" s="96">
        <v>0.0</v>
      </c>
      <c r="G81" s="96">
        <v>0.0</v>
      </c>
      <c r="H81" s="97">
        <v>0.0</v>
      </c>
      <c r="I81" s="96">
        <v>0.0</v>
      </c>
      <c r="J81" s="96">
        <v>0.0</v>
      </c>
      <c r="K81" s="97">
        <v>0.0</v>
      </c>
      <c r="L81" s="96">
        <v>0.0</v>
      </c>
      <c r="M81" s="96">
        <v>0.0</v>
      </c>
      <c r="N81" s="97">
        <v>0.0</v>
      </c>
      <c r="O81" s="4"/>
      <c r="P81" s="4"/>
      <c r="Q81" s="625"/>
      <c r="R81" s="4"/>
      <c r="S81" s="4"/>
      <c r="T81" s="4"/>
      <c r="U81" s="4"/>
      <c r="V81" s="4"/>
      <c r="W81" s="4"/>
      <c r="X81" s="4"/>
      <c r="Y81" s="4"/>
      <c r="Z81" s="4"/>
    </row>
    <row r="82" ht="20.25" customHeight="1">
      <c r="A82" s="29">
        <v>17.0</v>
      </c>
      <c r="B82" s="30"/>
      <c r="C82" s="96">
        <v>0.0</v>
      </c>
      <c r="D82" s="96">
        <v>0.0</v>
      </c>
      <c r="E82" s="97">
        <v>0.0</v>
      </c>
      <c r="F82" s="96">
        <v>0.0</v>
      </c>
      <c r="G82" s="96">
        <v>0.0</v>
      </c>
      <c r="H82" s="97">
        <v>0.0</v>
      </c>
      <c r="I82" s="96">
        <v>0.0</v>
      </c>
      <c r="J82" s="96">
        <v>0.0</v>
      </c>
      <c r="K82" s="97">
        <v>0.0</v>
      </c>
      <c r="L82" s="96">
        <v>0.0</v>
      </c>
      <c r="M82" s="96">
        <v>0.0</v>
      </c>
      <c r="N82" s="97">
        <v>0.0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0.25" customHeight="1">
      <c r="A83" s="29">
        <v>18.0</v>
      </c>
      <c r="B83" s="30"/>
      <c r="C83" s="96">
        <v>0.0</v>
      </c>
      <c r="D83" s="96">
        <v>0.0</v>
      </c>
      <c r="E83" s="97">
        <v>0.0</v>
      </c>
      <c r="F83" s="96">
        <v>0.0</v>
      </c>
      <c r="G83" s="96">
        <v>0.0</v>
      </c>
      <c r="H83" s="97">
        <v>0.0</v>
      </c>
      <c r="I83" s="96">
        <v>0.0</v>
      </c>
      <c r="J83" s="96">
        <v>0.0</v>
      </c>
      <c r="K83" s="97">
        <v>0.0</v>
      </c>
      <c r="L83" s="96">
        <v>0.0</v>
      </c>
      <c r="M83" s="96">
        <v>0.0</v>
      </c>
      <c r="N83" s="97">
        <v>0.0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0.25" customHeight="1">
      <c r="A84" s="29">
        <v>19.0</v>
      </c>
      <c r="B84" s="30"/>
      <c r="C84" s="96">
        <v>0.0</v>
      </c>
      <c r="D84" s="96">
        <v>0.0</v>
      </c>
      <c r="E84" s="97">
        <v>0.0</v>
      </c>
      <c r="F84" s="96">
        <v>0.0</v>
      </c>
      <c r="G84" s="96">
        <v>0.0</v>
      </c>
      <c r="H84" s="97">
        <v>0.0</v>
      </c>
      <c r="I84" s="96">
        <v>0.0</v>
      </c>
      <c r="J84" s="96">
        <v>0.0</v>
      </c>
      <c r="K84" s="97">
        <v>0.0</v>
      </c>
      <c r="L84" s="96">
        <v>0.0</v>
      </c>
      <c r="M84" s="96">
        <v>0.0</v>
      </c>
      <c r="N84" s="97">
        <v>0.0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57" t="s">
        <v>36</v>
      </c>
      <c r="B85" s="21"/>
      <c r="C85" s="58">
        <f t="shared" ref="C85:N85" si="16">SUM(C66:C84)</f>
        <v>30000</v>
      </c>
      <c r="D85" s="58">
        <f t="shared" si="16"/>
        <v>0</v>
      </c>
      <c r="E85" s="657">
        <f t="shared" si="16"/>
        <v>30000</v>
      </c>
      <c r="F85" s="58">
        <f t="shared" si="16"/>
        <v>84000</v>
      </c>
      <c r="G85" s="58">
        <f t="shared" si="16"/>
        <v>0</v>
      </c>
      <c r="H85" s="632">
        <f t="shared" si="16"/>
        <v>84000</v>
      </c>
      <c r="I85" s="58">
        <f t="shared" si="16"/>
        <v>9678.15</v>
      </c>
      <c r="J85" s="58">
        <f t="shared" si="16"/>
        <v>0</v>
      </c>
      <c r="K85" s="87">
        <f t="shared" si="16"/>
        <v>9678.15</v>
      </c>
      <c r="L85" s="58">
        <f t="shared" si="16"/>
        <v>0</v>
      </c>
      <c r="M85" s="58">
        <f t="shared" si="16"/>
        <v>0</v>
      </c>
      <c r="N85" s="58">
        <f t="shared" si="16"/>
        <v>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0.25" customHeight="1">
      <c r="A86" s="4"/>
      <c r="B86" s="4"/>
      <c r="C86" s="4"/>
      <c r="D86" s="4"/>
      <c r="E86" s="63"/>
      <c r="F86" s="4"/>
      <c r="G86" s="4"/>
      <c r="H86" s="63"/>
      <c r="I86" s="4"/>
      <c r="J86" s="4"/>
      <c r="K86" s="63"/>
      <c r="L86" s="4"/>
      <c r="M86" s="4"/>
      <c r="N86" s="6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4"/>
      <c r="B87" s="4"/>
      <c r="C87" s="4"/>
      <c r="D87" s="4"/>
      <c r="E87" s="63"/>
      <c r="F87" s="4"/>
      <c r="G87" s="4"/>
      <c r="H87" s="63"/>
      <c r="I87" s="4"/>
      <c r="J87" s="4"/>
      <c r="K87" s="63"/>
      <c r="L87" s="4"/>
      <c r="M87" s="4"/>
      <c r="N87" s="6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1" t="s">
        <v>362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1" t="s">
        <v>363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customHeight="1">
      <c r="A90" s="10" t="s">
        <v>4</v>
      </c>
      <c r="B90" s="10" t="s">
        <v>5</v>
      </c>
      <c r="C90" s="99"/>
      <c r="D90" s="7"/>
      <c r="E90" s="8"/>
      <c r="F90" s="100"/>
      <c r="G90" s="7"/>
      <c r="H90" s="8"/>
      <c r="I90" s="627"/>
      <c r="J90" s="7"/>
      <c r="K90" s="8"/>
      <c r="L90" s="627"/>
      <c r="M90" s="7"/>
      <c r="N90" s="8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customHeight="1">
      <c r="A91" s="12"/>
      <c r="B91" s="12"/>
      <c r="E91" s="13"/>
      <c r="F91" s="14"/>
      <c r="G91" s="15"/>
      <c r="H91" s="16"/>
      <c r="I91" s="14"/>
      <c r="J91" s="15"/>
      <c r="K91" s="16"/>
      <c r="L91" s="14"/>
      <c r="M91" s="15"/>
      <c r="N91" s="1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0.25" customHeight="1">
      <c r="A92" s="12"/>
      <c r="B92" s="12"/>
      <c r="C92" s="592"/>
      <c r="D92" s="7"/>
      <c r="E92" s="8"/>
      <c r="F92" s="592"/>
      <c r="G92" s="7"/>
      <c r="H92" s="8"/>
      <c r="I92" s="17"/>
      <c r="J92" s="7"/>
      <c r="K92" s="8"/>
      <c r="L92" s="17" t="s">
        <v>199</v>
      </c>
      <c r="M92" s="7"/>
      <c r="N92" s="8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0.25" customHeight="1">
      <c r="A93" s="22"/>
      <c r="B93" s="22"/>
      <c r="C93" s="69" t="s">
        <v>13</v>
      </c>
      <c r="D93" s="69" t="s">
        <v>14</v>
      </c>
      <c r="E93" s="70" t="s">
        <v>15</v>
      </c>
      <c r="F93" s="69" t="s">
        <v>13</v>
      </c>
      <c r="G93" s="69" t="s">
        <v>14</v>
      </c>
      <c r="H93" s="70" t="s">
        <v>15</v>
      </c>
      <c r="I93" s="23" t="s">
        <v>13</v>
      </c>
      <c r="J93" s="23" t="s">
        <v>14</v>
      </c>
      <c r="K93" s="24" t="s">
        <v>15</v>
      </c>
      <c r="L93" s="23" t="s">
        <v>13</v>
      </c>
      <c r="M93" s="23" t="s">
        <v>14</v>
      </c>
      <c r="N93" s="24" t="s">
        <v>15</v>
      </c>
      <c r="O93" s="7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0.25" customHeight="1">
      <c r="A94" s="92"/>
      <c r="B94" s="21"/>
      <c r="C94" s="72"/>
      <c r="D94" s="20"/>
      <c r="E94" s="21"/>
      <c r="F94" s="72"/>
      <c r="G94" s="20"/>
      <c r="H94" s="21"/>
      <c r="I94" s="114"/>
      <c r="J94" s="20"/>
      <c r="K94" s="21"/>
      <c r="L94" s="114"/>
      <c r="M94" s="20"/>
      <c r="N94" s="21"/>
      <c r="O94" s="7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0.25" customHeight="1">
      <c r="A95" s="29">
        <v>1.0</v>
      </c>
      <c r="B95" s="30" t="s">
        <v>17</v>
      </c>
      <c r="C95" s="663"/>
      <c r="D95" s="664">
        <v>0.0</v>
      </c>
      <c r="E95" s="51">
        <f>SUM(C95-D95)</f>
        <v>0</v>
      </c>
      <c r="F95" s="665"/>
      <c r="G95" s="665"/>
      <c r="H95" s="51">
        <f>SUM(F95-G95)</f>
        <v>0</v>
      </c>
      <c r="I95" s="76">
        <v>0.0</v>
      </c>
      <c r="J95" s="76">
        <v>0.0</v>
      </c>
      <c r="K95" s="81">
        <f>SUM(I95-J95)</f>
        <v>0</v>
      </c>
      <c r="L95" s="76">
        <v>0.0</v>
      </c>
      <c r="M95" s="76">
        <v>0.0</v>
      </c>
      <c r="N95" s="81">
        <f>SUM(L95-M95)</f>
        <v>0</v>
      </c>
      <c r="O95" s="79"/>
      <c r="P95" s="4"/>
      <c r="Q95" s="631"/>
      <c r="R95" s="4"/>
      <c r="S95" s="4"/>
      <c r="T95" s="4"/>
      <c r="U95" s="4"/>
      <c r="V95" s="4"/>
      <c r="W95" s="4"/>
      <c r="X95" s="4"/>
      <c r="Y95" s="4"/>
      <c r="Z95" s="4"/>
    </row>
    <row r="96" ht="20.25" customHeight="1">
      <c r="A96" s="29">
        <v>2.0</v>
      </c>
      <c r="B96" s="45"/>
      <c r="C96" s="111"/>
      <c r="D96" s="111"/>
      <c r="E96" s="111"/>
      <c r="F96" s="111"/>
      <c r="G96" s="111"/>
      <c r="H96" s="111"/>
      <c r="I96" s="112">
        <v>0.0</v>
      </c>
      <c r="J96" s="111"/>
      <c r="K96" s="111"/>
      <c r="L96" s="84"/>
      <c r="M96" s="85"/>
      <c r="N96" s="81"/>
      <c r="O96" s="7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0.25" customHeight="1">
      <c r="A97" s="29">
        <v>3.0</v>
      </c>
      <c r="B97" s="30"/>
      <c r="C97" s="111">
        <v>0.0</v>
      </c>
      <c r="D97" s="111">
        <v>0.0</v>
      </c>
      <c r="E97" s="111">
        <v>0.0</v>
      </c>
      <c r="F97" s="111">
        <v>0.0</v>
      </c>
      <c r="G97" s="111">
        <v>0.0</v>
      </c>
      <c r="H97" s="111">
        <v>0.0</v>
      </c>
      <c r="I97" s="111">
        <v>0.0</v>
      </c>
      <c r="J97" s="111">
        <v>0.0</v>
      </c>
      <c r="K97" s="111">
        <v>0.0</v>
      </c>
      <c r="L97" s="84"/>
      <c r="M97" s="85"/>
      <c r="N97" s="81"/>
      <c r="O97" s="7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0.25" customHeight="1">
      <c r="A98" s="29">
        <v>4.0</v>
      </c>
      <c r="B98" s="30"/>
      <c r="C98" s="96">
        <v>0.0</v>
      </c>
      <c r="D98" s="96">
        <v>0.0</v>
      </c>
      <c r="E98" s="97">
        <v>0.0</v>
      </c>
      <c r="F98" s="96">
        <v>0.0</v>
      </c>
      <c r="G98" s="96">
        <v>0.0</v>
      </c>
      <c r="H98" s="97">
        <v>0.0</v>
      </c>
      <c r="I98" s="96">
        <v>0.0</v>
      </c>
      <c r="J98" s="96">
        <v>0.0</v>
      </c>
      <c r="K98" s="97">
        <v>0.0</v>
      </c>
      <c r="L98" s="84"/>
      <c r="M98" s="85"/>
      <c r="N98" s="81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0.25" customHeight="1">
      <c r="A99" s="29">
        <v>5.0</v>
      </c>
      <c r="B99" s="30"/>
      <c r="C99" s="96">
        <v>0.0</v>
      </c>
      <c r="D99" s="96">
        <v>0.0</v>
      </c>
      <c r="E99" s="97">
        <v>0.0</v>
      </c>
      <c r="F99" s="96">
        <v>0.0</v>
      </c>
      <c r="G99" s="96">
        <v>0.0</v>
      </c>
      <c r="H99" s="97">
        <v>0.0</v>
      </c>
      <c r="I99" s="96">
        <v>0.0</v>
      </c>
      <c r="J99" s="96">
        <v>0.0</v>
      </c>
      <c r="K99" s="97">
        <v>0.0</v>
      </c>
      <c r="L99" s="84"/>
      <c r="M99" s="85"/>
      <c r="N99" s="81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0.25" customHeight="1">
      <c r="A100" s="29">
        <v>6.0</v>
      </c>
      <c r="B100" s="30"/>
      <c r="C100" s="96">
        <v>0.0</v>
      </c>
      <c r="D100" s="96">
        <v>0.0</v>
      </c>
      <c r="E100" s="97">
        <v>0.0</v>
      </c>
      <c r="F100" s="96">
        <v>0.0</v>
      </c>
      <c r="G100" s="96">
        <v>0.0</v>
      </c>
      <c r="H100" s="97">
        <v>0.0</v>
      </c>
      <c r="I100" s="96">
        <v>0.0</v>
      </c>
      <c r="J100" s="96">
        <v>0.0</v>
      </c>
      <c r="K100" s="97">
        <v>0.0</v>
      </c>
      <c r="L100" s="84"/>
      <c r="M100" s="85"/>
      <c r="N100" s="81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0.25" customHeight="1">
      <c r="A101" s="29">
        <v>7.0</v>
      </c>
      <c r="B101" s="30"/>
      <c r="C101" s="96">
        <v>0.0</v>
      </c>
      <c r="D101" s="96">
        <v>0.0</v>
      </c>
      <c r="E101" s="97">
        <v>0.0</v>
      </c>
      <c r="F101" s="96">
        <v>0.0</v>
      </c>
      <c r="G101" s="96">
        <v>0.0</v>
      </c>
      <c r="H101" s="97">
        <v>0.0</v>
      </c>
      <c r="I101" s="96">
        <v>0.0</v>
      </c>
      <c r="J101" s="96">
        <v>0.0</v>
      </c>
      <c r="K101" s="97">
        <v>0.0</v>
      </c>
      <c r="L101" s="84"/>
      <c r="M101" s="85"/>
      <c r="N101" s="8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0.25" customHeight="1">
      <c r="A102" s="29">
        <v>8.0</v>
      </c>
      <c r="B102" s="30"/>
      <c r="C102" s="96">
        <v>0.0</v>
      </c>
      <c r="D102" s="96">
        <v>0.0</v>
      </c>
      <c r="E102" s="97">
        <v>0.0</v>
      </c>
      <c r="F102" s="96">
        <v>0.0</v>
      </c>
      <c r="G102" s="96">
        <v>0.0</v>
      </c>
      <c r="H102" s="97">
        <v>0.0</v>
      </c>
      <c r="I102" s="96">
        <v>0.0</v>
      </c>
      <c r="J102" s="96">
        <v>0.0</v>
      </c>
      <c r="K102" s="97">
        <v>0.0</v>
      </c>
      <c r="L102" s="84"/>
      <c r="M102" s="85"/>
      <c r="N102" s="81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0.25" customHeight="1">
      <c r="A103" s="29">
        <v>9.0</v>
      </c>
      <c r="B103" s="30"/>
      <c r="C103" s="96">
        <v>0.0</v>
      </c>
      <c r="D103" s="96">
        <v>0.0</v>
      </c>
      <c r="E103" s="97">
        <v>0.0</v>
      </c>
      <c r="F103" s="96">
        <v>0.0</v>
      </c>
      <c r="G103" s="96">
        <v>0.0</v>
      </c>
      <c r="H103" s="97">
        <v>0.0</v>
      </c>
      <c r="I103" s="96">
        <v>0.0</v>
      </c>
      <c r="J103" s="96">
        <v>0.0</v>
      </c>
      <c r="K103" s="97">
        <v>0.0</v>
      </c>
      <c r="L103" s="84"/>
      <c r="M103" s="85"/>
      <c r="N103" s="81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0.25" customHeight="1">
      <c r="A104" s="29">
        <v>10.0</v>
      </c>
      <c r="B104" s="30"/>
      <c r="C104" s="96">
        <v>0.0</v>
      </c>
      <c r="D104" s="96">
        <v>0.0</v>
      </c>
      <c r="E104" s="97">
        <v>0.0</v>
      </c>
      <c r="F104" s="96">
        <v>0.0</v>
      </c>
      <c r="G104" s="96">
        <v>0.0</v>
      </c>
      <c r="H104" s="97">
        <v>0.0</v>
      </c>
      <c r="I104" s="96">
        <v>0.0</v>
      </c>
      <c r="J104" s="96">
        <v>0.0</v>
      </c>
      <c r="K104" s="97">
        <v>0.0</v>
      </c>
      <c r="L104" s="84"/>
      <c r="M104" s="85"/>
      <c r="N104" s="81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0.25" customHeight="1">
      <c r="A105" s="29">
        <v>11.0</v>
      </c>
      <c r="B105" s="30"/>
      <c r="C105" s="96">
        <v>0.0</v>
      </c>
      <c r="D105" s="96">
        <v>0.0</v>
      </c>
      <c r="E105" s="97">
        <v>0.0</v>
      </c>
      <c r="F105" s="96">
        <v>0.0</v>
      </c>
      <c r="G105" s="96">
        <v>0.0</v>
      </c>
      <c r="H105" s="97">
        <v>0.0</v>
      </c>
      <c r="I105" s="96">
        <v>0.0</v>
      </c>
      <c r="J105" s="96">
        <v>0.0</v>
      </c>
      <c r="K105" s="97">
        <v>0.0</v>
      </c>
      <c r="L105" s="84"/>
      <c r="M105" s="85"/>
      <c r="N105" s="81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0.25" customHeight="1">
      <c r="A106" s="29">
        <v>12.0</v>
      </c>
      <c r="B106" s="30"/>
      <c r="C106" s="96">
        <v>0.0</v>
      </c>
      <c r="D106" s="96">
        <v>0.0</v>
      </c>
      <c r="E106" s="97">
        <v>0.0</v>
      </c>
      <c r="F106" s="96">
        <v>0.0</v>
      </c>
      <c r="G106" s="96">
        <v>0.0</v>
      </c>
      <c r="H106" s="97">
        <v>0.0</v>
      </c>
      <c r="I106" s="96">
        <v>0.0</v>
      </c>
      <c r="J106" s="96">
        <v>0.0</v>
      </c>
      <c r="K106" s="97">
        <v>0.0</v>
      </c>
      <c r="L106" s="84"/>
      <c r="M106" s="85"/>
      <c r="N106" s="81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0.25" customHeight="1">
      <c r="A107" s="29">
        <v>13.0</v>
      </c>
      <c r="B107" s="30"/>
      <c r="C107" s="96">
        <v>0.0</v>
      </c>
      <c r="D107" s="96">
        <v>0.0</v>
      </c>
      <c r="E107" s="97">
        <v>0.0</v>
      </c>
      <c r="F107" s="96">
        <v>0.0</v>
      </c>
      <c r="G107" s="96">
        <v>0.0</v>
      </c>
      <c r="H107" s="97">
        <v>0.0</v>
      </c>
      <c r="I107" s="96">
        <v>0.0</v>
      </c>
      <c r="J107" s="96">
        <v>0.0</v>
      </c>
      <c r="K107" s="97">
        <v>0.0</v>
      </c>
      <c r="L107" s="84"/>
      <c r="M107" s="85"/>
      <c r="N107" s="81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0.25" customHeight="1">
      <c r="A108" s="29">
        <v>14.0</v>
      </c>
      <c r="B108" s="30"/>
      <c r="C108" s="96">
        <v>0.0</v>
      </c>
      <c r="D108" s="96">
        <v>0.0</v>
      </c>
      <c r="E108" s="97">
        <v>0.0</v>
      </c>
      <c r="F108" s="96">
        <v>0.0</v>
      </c>
      <c r="G108" s="96">
        <v>0.0</v>
      </c>
      <c r="H108" s="97">
        <v>0.0</v>
      </c>
      <c r="I108" s="96">
        <v>0.0</v>
      </c>
      <c r="J108" s="96">
        <v>0.0</v>
      </c>
      <c r="K108" s="97">
        <v>0.0</v>
      </c>
      <c r="L108" s="84"/>
      <c r="M108" s="85"/>
      <c r="N108" s="81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0.25" customHeight="1">
      <c r="A109" s="29">
        <v>15.0</v>
      </c>
      <c r="B109" s="55"/>
      <c r="C109" s="96">
        <v>0.0</v>
      </c>
      <c r="D109" s="96">
        <v>0.0</v>
      </c>
      <c r="E109" s="97">
        <v>0.0</v>
      </c>
      <c r="F109" s="96">
        <v>0.0</v>
      </c>
      <c r="G109" s="96">
        <v>0.0</v>
      </c>
      <c r="H109" s="97">
        <v>0.0</v>
      </c>
      <c r="I109" s="96">
        <v>0.0</v>
      </c>
      <c r="J109" s="96">
        <v>0.0</v>
      </c>
      <c r="K109" s="97">
        <v>0.0</v>
      </c>
      <c r="L109" s="84"/>
      <c r="M109" s="85"/>
      <c r="N109" s="81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0.25" customHeight="1">
      <c r="A110" s="29">
        <v>16.0</v>
      </c>
      <c r="B110" s="30"/>
      <c r="C110" s="96">
        <v>0.0</v>
      </c>
      <c r="D110" s="96">
        <v>0.0</v>
      </c>
      <c r="E110" s="97">
        <v>0.0</v>
      </c>
      <c r="F110" s="96">
        <v>0.0</v>
      </c>
      <c r="G110" s="96">
        <v>0.0</v>
      </c>
      <c r="H110" s="97">
        <v>0.0</v>
      </c>
      <c r="I110" s="96">
        <v>0.0</v>
      </c>
      <c r="J110" s="96">
        <v>0.0</v>
      </c>
      <c r="K110" s="97">
        <v>0.0</v>
      </c>
      <c r="L110" s="84"/>
      <c r="M110" s="85"/>
      <c r="N110" s="81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0.25" customHeight="1">
      <c r="A111" s="29">
        <v>17.0</v>
      </c>
      <c r="B111" s="30"/>
      <c r="C111" s="96">
        <v>0.0</v>
      </c>
      <c r="D111" s="96">
        <v>0.0</v>
      </c>
      <c r="E111" s="97">
        <v>0.0</v>
      </c>
      <c r="F111" s="96">
        <v>0.0</v>
      </c>
      <c r="G111" s="96">
        <v>0.0</v>
      </c>
      <c r="H111" s="97">
        <v>0.0</v>
      </c>
      <c r="I111" s="96">
        <v>0.0</v>
      </c>
      <c r="J111" s="96">
        <v>0.0</v>
      </c>
      <c r="K111" s="97">
        <v>0.0</v>
      </c>
      <c r="L111" s="84"/>
      <c r="M111" s="85"/>
      <c r="N111" s="8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0.25" customHeight="1">
      <c r="A112" s="29">
        <v>18.0</v>
      </c>
      <c r="B112" s="30"/>
      <c r="C112" s="96">
        <v>0.0</v>
      </c>
      <c r="D112" s="96">
        <v>0.0</v>
      </c>
      <c r="E112" s="97">
        <v>0.0</v>
      </c>
      <c r="F112" s="96">
        <v>0.0</v>
      </c>
      <c r="G112" s="96">
        <v>0.0</v>
      </c>
      <c r="H112" s="97">
        <v>0.0</v>
      </c>
      <c r="I112" s="96">
        <v>0.0</v>
      </c>
      <c r="J112" s="96">
        <v>0.0</v>
      </c>
      <c r="K112" s="97">
        <v>0.0</v>
      </c>
      <c r="L112" s="84"/>
      <c r="M112" s="85"/>
      <c r="N112" s="81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0.25" customHeight="1">
      <c r="A113" s="29">
        <v>19.0</v>
      </c>
      <c r="B113" s="30"/>
      <c r="C113" s="96">
        <v>0.0</v>
      </c>
      <c r="D113" s="96">
        <v>0.0</v>
      </c>
      <c r="E113" s="97">
        <v>0.0</v>
      </c>
      <c r="F113" s="96">
        <v>0.0</v>
      </c>
      <c r="G113" s="96">
        <v>0.0</v>
      </c>
      <c r="H113" s="97">
        <v>0.0</v>
      </c>
      <c r="I113" s="96">
        <v>0.0</v>
      </c>
      <c r="J113" s="96">
        <v>0.0</v>
      </c>
      <c r="K113" s="97">
        <v>0.0</v>
      </c>
      <c r="L113" s="84"/>
      <c r="M113" s="85"/>
      <c r="N113" s="81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0.25" customHeight="1">
      <c r="A114" s="57" t="s">
        <v>36</v>
      </c>
      <c r="B114" s="21"/>
      <c r="C114" s="653">
        <f t="shared" ref="C114:N114" si="17">SUM(C95:C113)</f>
        <v>0</v>
      </c>
      <c r="D114" s="653">
        <f t="shared" si="17"/>
        <v>0</v>
      </c>
      <c r="E114" s="87">
        <f t="shared" si="17"/>
        <v>0</v>
      </c>
      <c r="F114" s="87">
        <f t="shared" si="17"/>
        <v>0</v>
      </c>
      <c r="G114" s="87">
        <f t="shared" si="17"/>
        <v>0</v>
      </c>
      <c r="H114" s="87">
        <f t="shared" si="17"/>
        <v>0</v>
      </c>
      <c r="I114" s="60">
        <f t="shared" si="17"/>
        <v>0</v>
      </c>
      <c r="J114" s="60">
        <f t="shared" si="17"/>
        <v>0</v>
      </c>
      <c r="K114" s="87">
        <f t="shared" si="17"/>
        <v>0</v>
      </c>
      <c r="L114" s="60">
        <f t="shared" si="17"/>
        <v>0</v>
      </c>
      <c r="M114" s="60">
        <f t="shared" si="17"/>
        <v>0</v>
      </c>
      <c r="N114" s="87">
        <f t="shared" si="17"/>
        <v>0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0.25" customHeight="1">
      <c r="A115" s="4"/>
      <c r="B115" s="4"/>
      <c r="C115" s="4"/>
      <c r="D115" s="4"/>
      <c r="E115" s="63"/>
      <c r="F115" s="4"/>
      <c r="G115" s="4"/>
      <c r="H115" s="63"/>
      <c r="I115" s="4"/>
      <c r="J115" s="4"/>
      <c r="K115" s="63"/>
      <c r="L115" s="4"/>
      <c r="M115" s="4"/>
      <c r="N115" s="6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0.25" customHeight="1">
      <c r="A116" s="4"/>
      <c r="B116" s="4"/>
      <c r="C116" s="4"/>
      <c r="D116" s="4"/>
      <c r="E116" s="63"/>
      <c r="F116" s="4"/>
      <c r="G116" s="4"/>
      <c r="H116" s="63"/>
      <c r="I116" s="4"/>
      <c r="J116" s="4"/>
      <c r="K116" s="63"/>
      <c r="L116" s="4"/>
      <c r="M116" s="4"/>
      <c r="N116" s="6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</sheetData>
  <mergeCells count="81">
    <mergeCell ref="F3:H4"/>
    <mergeCell ref="I3:K4"/>
    <mergeCell ref="L3:N4"/>
    <mergeCell ref="P3:P6"/>
    <mergeCell ref="L5:N5"/>
    <mergeCell ref="L7:N7"/>
    <mergeCell ref="P7:Q7"/>
    <mergeCell ref="R7:T7"/>
    <mergeCell ref="P2:U2"/>
    <mergeCell ref="R3:U4"/>
    <mergeCell ref="I5:K5"/>
    <mergeCell ref="R5:U5"/>
    <mergeCell ref="A1:N1"/>
    <mergeCell ref="P1:U1"/>
    <mergeCell ref="A2:N2"/>
    <mergeCell ref="A3:A6"/>
    <mergeCell ref="B3:B6"/>
    <mergeCell ref="C3:E4"/>
    <mergeCell ref="Q3:Q6"/>
    <mergeCell ref="C5:E5"/>
    <mergeCell ref="F5:H5"/>
    <mergeCell ref="A7:B7"/>
    <mergeCell ref="C7:E7"/>
    <mergeCell ref="F7:H7"/>
    <mergeCell ref="I7:K7"/>
    <mergeCell ref="P27:Q27"/>
    <mergeCell ref="C34:E34"/>
    <mergeCell ref="F34:H34"/>
    <mergeCell ref="A56:B56"/>
    <mergeCell ref="A61:A64"/>
    <mergeCell ref="B61:B64"/>
    <mergeCell ref="C61:E62"/>
    <mergeCell ref="F61:H62"/>
    <mergeCell ref="I61:K62"/>
    <mergeCell ref="L61:N62"/>
    <mergeCell ref="I90:K91"/>
    <mergeCell ref="L90:N91"/>
    <mergeCell ref="C92:E92"/>
    <mergeCell ref="F92:H92"/>
    <mergeCell ref="A114:B114"/>
    <mergeCell ref="I92:K92"/>
    <mergeCell ref="L92:N92"/>
    <mergeCell ref="A94:B94"/>
    <mergeCell ref="C94:E94"/>
    <mergeCell ref="F94:H94"/>
    <mergeCell ref="I94:K94"/>
    <mergeCell ref="L94:N94"/>
    <mergeCell ref="C63:E63"/>
    <mergeCell ref="F63:H63"/>
    <mergeCell ref="A85:B85"/>
    <mergeCell ref="A88:N88"/>
    <mergeCell ref="A89:N89"/>
    <mergeCell ref="A90:A93"/>
    <mergeCell ref="B90:B93"/>
    <mergeCell ref="I32:K33"/>
    <mergeCell ref="L32:N33"/>
    <mergeCell ref="I34:K34"/>
    <mergeCell ref="L34:N34"/>
    <mergeCell ref="A27:B27"/>
    <mergeCell ref="A30:N30"/>
    <mergeCell ref="A31:N31"/>
    <mergeCell ref="A32:A35"/>
    <mergeCell ref="B32:B35"/>
    <mergeCell ref="C32:E33"/>
    <mergeCell ref="F32:H33"/>
    <mergeCell ref="A36:B36"/>
    <mergeCell ref="C36:E36"/>
    <mergeCell ref="F36:H36"/>
    <mergeCell ref="I36:K36"/>
    <mergeCell ref="L36:N36"/>
    <mergeCell ref="A59:N59"/>
    <mergeCell ref="A60:N60"/>
    <mergeCell ref="I63:K63"/>
    <mergeCell ref="L63:N63"/>
    <mergeCell ref="A65:B65"/>
    <mergeCell ref="C65:E65"/>
    <mergeCell ref="F65:H65"/>
    <mergeCell ref="I65:K65"/>
    <mergeCell ref="L65:N65"/>
    <mergeCell ref="C90:E91"/>
    <mergeCell ref="F90:H9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3" max="3" width="9.86"/>
    <col customWidth="1" min="4" max="4" width="10.86"/>
    <col customWidth="1" min="5" max="5" width="12.14"/>
    <col customWidth="1" min="6" max="6" width="13.29"/>
    <col customWidth="1" min="7" max="7" width="14.0"/>
    <col customWidth="1" min="8" max="8" width="13.29"/>
    <col customWidth="1" min="9" max="9" width="13.86"/>
    <col customWidth="1" min="10" max="10" width="12.0"/>
    <col customWidth="1" min="11" max="11" width="13.0"/>
    <col customWidth="1" min="12" max="12" width="10.86"/>
    <col customWidth="1" min="13" max="13" width="13.14"/>
    <col customWidth="1" min="14" max="14" width="14.57"/>
    <col customWidth="1" min="15" max="15" width="8.14"/>
    <col customWidth="1" min="16" max="16" width="9.86"/>
    <col customWidth="1" min="17" max="17" width="16.29"/>
    <col customWidth="1" min="20" max="21" width="16.14"/>
  </cols>
  <sheetData>
    <row r="1" ht="20.25" customHeight="1">
      <c r="A1" s="1" t="s">
        <v>0</v>
      </c>
      <c r="O1" s="529"/>
      <c r="P1" s="530" t="s">
        <v>323</v>
      </c>
      <c r="V1" s="529"/>
      <c r="W1" s="529"/>
      <c r="X1" s="529"/>
      <c r="Y1" s="529"/>
      <c r="Z1" s="529"/>
    </row>
    <row r="2" ht="20.25" customHeight="1">
      <c r="A2" s="1" t="s">
        <v>366</v>
      </c>
      <c r="O2" s="529"/>
      <c r="P2" s="530" t="s">
        <v>325</v>
      </c>
      <c r="V2" s="529"/>
      <c r="W2" s="529"/>
      <c r="X2" s="529"/>
      <c r="Y2" s="529"/>
      <c r="Z2" s="529"/>
    </row>
    <row r="3" ht="20.25" customHeight="1">
      <c r="A3" s="532" t="s">
        <v>4</v>
      </c>
      <c r="B3" s="532" t="s">
        <v>5</v>
      </c>
      <c r="C3" s="666" t="s">
        <v>367</v>
      </c>
      <c r="D3" s="7"/>
      <c r="E3" s="8"/>
      <c r="F3" s="535"/>
      <c r="G3" s="7"/>
      <c r="H3" s="8"/>
      <c r="I3" s="535"/>
      <c r="J3" s="7"/>
      <c r="K3" s="8"/>
      <c r="L3" s="535"/>
      <c r="M3" s="7"/>
      <c r="N3" s="8"/>
      <c r="O3" s="529"/>
      <c r="P3" s="532" t="s">
        <v>4</v>
      </c>
      <c r="Q3" s="532" t="s">
        <v>10</v>
      </c>
      <c r="R3" s="536" t="s">
        <v>11</v>
      </c>
      <c r="S3" s="7"/>
      <c r="T3" s="7"/>
      <c r="U3" s="8"/>
      <c r="V3" s="529"/>
      <c r="W3" s="529"/>
      <c r="X3" s="529"/>
      <c r="Y3" s="529"/>
      <c r="Z3" s="529"/>
    </row>
    <row r="4" ht="20.25" customHeight="1">
      <c r="A4" s="12"/>
      <c r="B4" s="12"/>
      <c r="E4" s="13"/>
      <c r="F4" s="14"/>
      <c r="G4" s="15"/>
      <c r="H4" s="16"/>
      <c r="I4" s="14"/>
      <c r="J4" s="15"/>
      <c r="K4" s="16"/>
      <c r="L4" s="14"/>
      <c r="M4" s="15"/>
      <c r="N4" s="16"/>
      <c r="O4" s="529"/>
      <c r="P4" s="12"/>
      <c r="Q4" s="12"/>
      <c r="R4" s="14"/>
      <c r="S4" s="15"/>
      <c r="T4" s="15"/>
      <c r="U4" s="16"/>
      <c r="V4" s="529"/>
      <c r="W4" s="529"/>
      <c r="X4" s="529"/>
      <c r="Y4" s="529"/>
      <c r="Z4" s="529"/>
    </row>
    <row r="5" ht="20.25" customHeight="1">
      <c r="A5" s="12"/>
      <c r="B5" s="12"/>
      <c r="C5" s="537" t="s">
        <v>12</v>
      </c>
      <c r="D5" s="7"/>
      <c r="E5" s="8"/>
      <c r="F5" s="578" t="s">
        <v>12</v>
      </c>
      <c r="H5" s="13"/>
      <c r="I5" s="578" t="s">
        <v>12</v>
      </c>
      <c r="K5" s="13"/>
      <c r="L5" s="578" t="s">
        <v>12</v>
      </c>
      <c r="N5" s="13"/>
      <c r="O5" s="529"/>
      <c r="P5" s="12"/>
      <c r="Q5" s="12"/>
      <c r="R5" s="538" t="s">
        <v>12</v>
      </c>
      <c r="S5" s="20"/>
      <c r="T5" s="20"/>
      <c r="U5" s="21"/>
      <c r="V5" s="529"/>
      <c r="W5" s="529"/>
      <c r="X5" s="529"/>
      <c r="Y5" s="529"/>
      <c r="Z5" s="529"/>
    </row>
    <row r="6" ht="20.25" customHeight="1">
      <c r="A6" s="22"/>
      <c r="B6" s="22"/>
      <c r="C6" s="539" t="s">
        <v>13</v>
      </c>
      <c r="D6" s="539" t="s">
        <v>14</v>
      </c>
      <c r="E6" s="540" t="s">
        <v>15</v>
      </c>
      <c r="F6" s="539" t="s">
        <v>13</v>
      </c>
      <c r="G6" s="539" t="s">
        <v>14</v>
      </c>
      <c r="H6" s="540" t="s">
        <v>15</v>
      </c>
      <c r="I6" s="539" t="s">
        <v>13</v>
      </c>
      <c r="J6" s="539" t="s">
        <v>14</v>
      </c>
      <c r="K6" s="540" t="s">
        <v>15</v>
      </c>
      <c r="L6" s="539" t="s">
        <v>13</v>
      </c>
      <c r="M6" s="539" t="s">
        <v>14</v>
      </c>
      <c r="N6" s="540" t="s">
        <v>15</v>
      </c>
      <c r="O6" s="529"/>
      <c r="P6" s="22"/>
      <c r="Q6" s="22"/>
      <c r="R6" s="539" t="s">
        <v>13</v>
      </c>
      <c r="S6" s="539" t="s">
        <v>14</v>
      </c>
      <c r="T6" s="539" t="s">
        <v>15</v>
      </c>
      <c r="U6" s="541" t="s">
        <v>16</v>
      </c>
      <c r="V6" s="529"/>
      <c r="W6" s="529"/>
      <c r="X6" s="529"/>
      <c r="Y6" s="529"/>
      <c r="Z6" s="529"/>
    </row>
    <row r="7" ht="20.25" customHeight="1">
      <c r="A7" s="538"/>
      <c r="B7" s="21"/>
      <c r="C7" s="542"/>
      <c r="D7" s="20"/>
      <c r="E7" s="21"/>
      <c r="F7" s="543"/>
      <c r="G7" s="20"/>
      <c r="H7" s="21"/>
      <c r="I7" s="543"/>
      <c r="J7" s="20"/>
      <c r="K7" s="20"/>
      <c r="L7" s="543"/>
      <c r="M7" s="20"/>
      <c r="N7" s="21"/>
      <c r="O7" s="529"/>
      <c r="P7" s="538"/>
      <c r="Q7" s="21"/>
      <c r="R7" s="542"/>
      <c r="S7" s="20"/>
      <c r="T7" s="21"/>
      <c r="U7" s="541"/>
      <c r="V7" s="529"/>
      <c r="W7" s="529"/>
      <c r="X7" s="529"/>
      <c r="Y7" s="529"/>
      <c r="Z7" s="529"/>
    </row>
    <row r="8" ht="20.25" customHeight="1">
      <c r="A8" s="544">
        <v>1.0</v>
      </c>
      <c r="B8" s="545"/>
      <c r="C8" s="667">
        <v>591700.0</v>
      </c>
      <c r="D8" s="668">
        <f>59000</f>
        <v>59000</v>
      </c>
      <c r="E8" s="669">
        <f>C8-D8</f>
        <v>532700</v>
      </c>
      <c r="F8" s="546">
        <v>0.0</v>
      </c>
      <c r="G8" s="549"/>
      <c r="H8" s="548">
        <f t="shared" ref="H8:H26" si="2">SUM(F8-G8)</f>
        <v>0</v>
      </c>
      <c r="I8" s="670">
        <v>0.0</v>
      </c>
      <c r="J8" s="552"/>
      <c r="K8" s="548">
        <f t="shared" ref="K8:K26" si="3">SUM(I8-J8)</f>
        <v>0</v>
      </c>
      <c r="L8" s="553">
        <v>0.0</v>
      </c>
      <c r="M8" s="554">
        <v>0.0</v>
      </c>
      <c r="N8" s="555">
        <f>L8-M8</f>
        <v>0</v>
      </c>
      <c r="O8" s="556"/>
      <c r="P8" s="544">
        <v>1.0</v>
      </c>
      <c r="Q8" s="557" t="s">
        <v>17</v>
      </c>
      <c r="R8" s="551" t="str">
        <f t="shared" ref="R8:S8" si="1">C8+F8+I8+L8+C41+F41+I41+L41+#REF!+#REF!+#REF!+#REF!+#REF!</f>
        <v>#REF!</v>
      </c>
      <c r="S8" s="558" t="str">
        <f t="shared" si="1"/>
        <v>#REF!</v>
      </c>
      <c r="T8" s="559" t="str">
        <f t="shared" ref="T8:T27" si="4">R8-S8</f>
        <v>#REF!</v>
      </c>
      <c r="U8" s="560" t="str">
        <f t="shared" ref="U8:U27" si="5">S8*100/R8</f>
        <v>#REF!</v>
      </c>
      <c r="V8" s="529"/>
      <c r="W8" s="529"/>
      <c r="X8" s="529"/>
      <c r="Y8" s="529"/>
      <c r="Z8" s="529"/>
    </row>
    <row r="9" ht="20.25" customHeight="1">
      <c r="A9" s="544">
        <v>2.0</v>
      </c>
      <c r="B9" s="561"/>
      <c r="C9" s="562"/>
      <c r="D9" s="549"/>
      <c r="E9" s="548">
        <f t="shared" ref="E9:E26" si="6">SUM(C9-D9)</f>
        <v>0</v>
      </c>
      <c r="F9" s="563"/>
      <c r="G9" s="549"/>
      <c r="H9" s="548">
        <f t="shared" si="2"/>
        <v>0</v>
      </c>
      <c r="I9" s="551"/>
      <c r="J9" s="564"/>
      <c r="K9" s="548">
        <f t="shared" si="3"/>
        <v>0</v>
      </c>
      <c r="L9" s="553"/>
      <c r="M9" s="553">
        <v>0.0</v>
      </c>
      <c r="N9" s="565">
        <f t="shared" ref="N9:N26" si="7">SUM(L9-M9)</f>
        <v>0</v>
      </c>
      <c r="O9" s="556"/>
      <c r="P9" s="544">
        <v>2.0</v>
      </c>
      <c r="Q9" s="566" t="s">
        <v>18</v>
      </c>
      <c r="R9" s="551" t="str">
        <f t="shared" ref="R9:R26" si="8">C9+F9+I9+L9+C42+F42+I42+L42+#REF!+#REF!+#REF!+#REF!</f>
        <v>#REF!</v>
      </c>
      <c r="S9" s="551" t="str">
        <f t="shared" ref="S9:S26" si="9">D9+G9+J9+D42+G42+J42+M42+#REF!+#REF!+#REF!+#REF!</f>
        <v>#REF!</v>
      </c>
      <c r="T9" s="559" t="str">
        <f t="shared" si="4"/>
        <v>#REF!</v>
      </c>
      <c r="U9" s="560" t="str">
        <f t="shared" si="5"/>
        <v>#REF!</v>
      </c>
      <c r="V9" s="529"/>
      <c r="W9" s="529"/>
      <c r="X9" s="529"/>
      <c r="Y9" s="529"/>
      <c r="Z9" s="529"/>
    </row>
    <row r="10" ht="20.25" customHeight="1">
      <c r="A10" s="544">
        <v>3.0</v>
      </c>
      <c r="B10" s="545"/>
      <c r="C10" s="562"/>
      <c r="D10" s="549"/>
      <c r="E10" s="548">
        <f t="shared" si="6"/>
        <v>0</v>
      </c>
      <c r="F10" s="563"/>
      <c r="G10" s="549"/>
      <c r="H10" s="548">
        <f t="shared" si="2"/>
        <v>0</v>
      </c>
      <c r="I10" s="551"/>
      <c r="J10" s="564"/>
      <c r="K10" s="548">
        <f t="shared" si="3"/>
        <v>0</v>
      </c>
      <c r="L10" s="553"/>
      <c r="M10" s="553">
        <v>0.0</v>
      </c>
      <c r="N10" s="565">
        <f t="shared" si="7"/>
        <v>0</v>
      </c>
      <c r="O10" s="556"/>
      <c r="P10" s="544">
        <v>3.0</v>
      </c>
      <c r="Q10" s="557" t="s">
        <v>19</v>
      </c>
      <c r="R10" s="551" t="str">
        <f t="shared" si="8"/>
        <v>#REF!</v>
      </c>
      <c r="S10" s="551" t="str">
        <f t="shared" si="9"/>
        <v>#REF!</v>
      </c>
      <c r="T10" s="559" t="str">
        <f t="shared" si="4"/>
        <v>#REF!</v>
      </c>
      <c r="U10" s="560" t="str">
        <f t="shared" si="5"/>
        <v>#REF!</v>
      </c>
      <c r="V10" s="529"/>
      <c r="W10" s="529"/>
      <c r="X10" s="529"/>
      <c r="Y10" s="529"/>
      <c r="Z10" s="529"/>
    </row>
    <row r="11" ht="20.25" customHeight="1">
      <c r="A11" s="544">
        <v>4.0</v>
      </c>
      <c r="B11" s="545"/>
      <c r="C11" s="562"/>
      <c r="D11" s="549"/>
      <c r="E11" s="548">
        <f t="shared" si="6"/>
        <v>0</v>
      </c>
      <c r="F11" s="563"/>
      <c r="G11" s="549"/>
      <c r="H11" s="548">
        <f t="shared" si="2"/>
        <v>0</v>
      </c>
      <c r="I11" s="551"/>
      <c r="J11" s="564"/>
      <c r="K11" s="548">
        <f t="shared" si="3"/>
        <v>0</v>
      </c>
      <c r="L11" s="553"/>
      <c r="M11" s="553">
        <v>0.0</v>
      </c>
      <c r="N11" s="565">
        <f t="shared" si="7"/>
        <v>0</v>
      </c>
      <c r="O11" s="556"/>
      <c r="P11" s="544">
        <v>4.0</v>
      </c>
      <c r="Q11" s="557" t="s">
        <v>20</v>
      </c>
      <c r="R11" s="551" t="str">
        <f t="shared" si="8"/>
        <v>#REF!</v>
      </c>
      <c r="S11" s="551" t="str">
        <f t="shared" si="9"/>
        <v>#REF!</v>
      </c>
      <c r="T11" s="559" t="str">
        <f t="shared" si="4"/>
        <v>#REF!</v>
      </c>
      <c r="U11" s="560" t="str">
        <f t="shared" si="5"/>
        <v>#REF!</v>
      </c>
      <c r="V11" s="529"/>
      <c r="W11" s="529"/>
      <c r="X11" s="529"/>
      <c r="Y11" s="529"/>
      <c r="Z11" s="529"/>
    </row>
    <row r="12" ht="20.25" customHeight="1">
      <c r="A12" s="544">
        <v>5.0</v>
      </c>
      <c r="B12" s="545"/>
      <c r="C12" s="562"/>
      <c r="D12" s="549"/>
      <c r="E12" s="548">
        <f t="shared" si="6"/>
        <v>0</v>
      </c>
      <c r="F12" s="563"/>
      <c r="G12" s="549"/>
      <c r="H12" s="548">
        <f t="shared" si="2"/>
        <v>0</v>
      </c>
      <c r="I12" s="551"/>
      <c r="J12" s="564"/>
      <c r="K12" s="548">
        <f t="shared" si="3"/>
        <v>0</v>
      </c>
      <c r="L12" s="553"/>
      <c r="M12" s="553">
        <v>0.0</v>
      </c>
      <c r="N12" s="565">
        <f t="shared" si="7"/>
        <v>0</v>
      </c>
      <c r="O12" s="556"/>
      <c r="P12" s="544">
        <v>5.0</v>
      </c>
      <c r="Q12" s="557" t="s">
        <v>21</v>
      </c>
      <c r="R12" s="551" t="str">
        <f t="shared" si="8"/>
        <v>#REF!</v>
      </c>
      <c r="S12" s="551" t="str">
        <f t="shared" si="9"/>
        <v>#REF!</v>
      </c>
      <c r="T12" s="559" t="str">
        <f t="shared" si="4"/>
        <v>#REF!</v>
      </c>
      <c r="U12" s="560" t="str">
        <f t="shared" si="5"/>
        <v>#REF!</v>
      </c>
      <c r="V12" s="529"/>
      <c r="W12" s="529"/>
      <c r="X12" s="529"/>
      <c r="Y12" s="529"/>
      <c r="Z12" s="529"/>
    </row>
    <row r="13" ht="20.25" customHeight="1">
      <c r="A13" s="544">
        <v>6.0</v>
      </c>
      <c r="B13" s="545"/>
      <c r="C13" s="562"/>
      <c r="D13" s="549"/>
      <c r="E13" s="548">
        <f t="shared" si="6"/>
        <v>0</v>
      </c>
      <c r="F13" s="563"/>
      <c r="G13" s="549"/>
      <c r="H13" s="548">
        <f t="shared" si="2"/>
        <v>0</v>
      </c>
      <c r="I13" s="551"/>
      <c r="J13" s="564"/>
      <c r="K13" s="548">
        <f t="shared" si="3"/>
        <v>0</v>
      </c>
      <c r="L13" s="553"/>
      <c r="M13" s="553">
        <v>0.0</v>
      </c>
      <c r="N13" s="565">
        <f t="shared" si="7"/>
        <v>0</v>
      </c>
      <c r="O13" s="556"/>
      <c r="P13" s="544">
        <v>6.0</v>
      </c>
      <c r="Q13" s="557" t="s">
        <v>22</v>
      </c>
      <c r="R13" s="551" t="str">
        <f t="shared" si="8"/>
        <v>#REF!</v>
      </c>
      <c r="S13" s="551" t="str">
        <f t="shared" si="9"/>
        <v>#REF!</v>
      </c>
      <c r="T13" s="559" t="str">
        <f t="shared" si="4"/>
        <v>#REF!</v>
      </c>
      <c r="U13" s="560" t="str">
        <f t="shared" si="5"/>
        <v>#REF!</v>
      </c>
      <c r="V13" s="529"/>
      <c r="W13" s="529"/>
      <c r="X13" s="529"/>
      <c r="Y13" s="529"/>
      <c r="Z13" s="529"/>
    </row>
    <row r="14" ht="20.25" customHeight="1">
      <c r="A14" s="544">
        <v>7.0</v>
      </c>
      <c r="B14" s="545"/>
      <c r="C14" s="562"/>
      <c r="D14" s="549"/>
      <c r="E14" s="548">
        <f t="shared" si="6"/>
        <v>0</v>
      </c>
      <c r="F14" s="563"/>
      <c r="G14" s="549"/>
      <c r="H14" s="548">
        <f t="shared" si="2"/>
        <v>0</v>
      </c>
      <c r="I14" s="551"/>
      <c r="J14" s="564"/>
      <c r="K14" s="548">
        <f t="shared" si="3"/>
        <v>0</v>
      </c>
      <c r="L14" s="553"/>
      <c r="M14" s="553">
        <v>0.0</v>
      </c>
      <c r="N14" s="565">
        <f t="shared" si="7"/>
        <v>0</v>
      </c>
      <c r="O14" s="556"/>
      <c r="P14" s="544">
        <v>7.0</v>
      </c>
      <c r="Q14" s="557" t="s">
        <v>23</v>
      </c>
      <c r="R14" s="551" t="str">
        <f t="shared" si="8"/>
        <v>#REF!</v>
      </c>
      <c r="S14" s="551" t="str">
        <f t="shared" si="9"/>
        <v>#REF!</v>
      </c>
      <c r="T14" s="559" t="str">
        <f t="shared" si="4"/>
        <v>#REF!</v>
      </c>
      <c r="U14" s="560" t="str">
        <f t="shared" si="5"/>
        <v>#REF!</v>
      </c>
      <c r="V14" s="529"/>
      <c r="W14" s="529"/>
      <c r="X14" s="529"/>
      <c r="Y14" s="529"/>
      <c r="Z14" s="529"/>
    </row>
    <row r="15" ht="20.25" customHeight="1">
      <c r="A15" s="544">
        <v>8.0</v>
      </c>
      <c r="B15" s="545"/>
      <c r="C15" s="562"/>
      <c r="D15" s="549"/>
      <c r="E15" s="548">
        <f t="shared" si="6"/>
        <v>0</v>
      </c>
      <c r="F15" s="563"/>
      <c r="G15" s="549"/>
      <c r="H15" s="548">
        <f t="shared" si="2"/>
        <v>0</v>
      </c>
      <c r="I15" s="551"/>
      <c r="J15" s="564"/>
      <c r="K15" s="548">
        <f t="shared" si="3"/>
        <v>0</v>
      </c>
      <c r="L15" s="553"/>
      <c r="M15" s="553">
        <v>0.0</v>
      </c>
      <c r="N15" s="565">
        <f t="shared" si="7"/>
        <v>0</v>
      </c>
      <c r="O15" s="556"/>
      <c r="P15" s="544">
        <v>8.0</v>
      </c>
      <c r="Q15" s="557" t="s">
        <v>24</v>
      </c>
      <c r="R15" s="551" t="str">
        <f t="shared" si="8"/>
        <v>#REF!</v>
      </c>
      <c r="S15" s="551" t="str">
        <f t="shared" si="9"/>
        <v>#REF!</v>
      </c>
      <c r="T15" s="559" t="str">
        <f t="shared" si="4"/>
        <v>#REF!</v>
      </c>
      <c r="U15" s="560" t="str">
        <f t="shared" si="5"/>
        <v>#REF!</v>
      </c>
      <c r="V15" s="529"/>
      <c r="W15" s="529"/>
      <c r="X15" s="529"/>
      <c r="Y15" s="529"/>
      <c r="Z15" s="529"/>
    </row>
    <row r="16" ht="20.25" customHeight="1">
      <c r="A16" s="544">
        <v>9.0</v>
      </c>
      <c r="B16" s="545"/>
      <c r="C16" s="562"/>
      <c r="D16" s="549"/>
      <c r="E16" s="548">
        <f t="shared" si="6"/>
        <v>0</v>
      </c>
      <c r="F16" s="563"/>
      <c r="G16" s="549"/>
      <c r="H16" s="548">
        <f t="shared" si="2"/>
        <v>0</v>
      </c>
      <c r="I16" s="551"/>
      <c r="J16" s="564"/>
      <c r="K16" s="548">
        <f t="shared" si="3"/>
        <v>0</v>
      </c>
      <c r="L16" s="553"/>
      <c r="M16" s="553">
        <v>0.0</v>
      </c>
      <c r="N16" s="565">
        <f t="shared" si="7"/>
        <v>0</v>
      </c>
      <c r="O16" s="556"/>
      <c r="P16" s="544">
        <v>9.0</v>
      </c>
      <c r="Q16" s="557" t="s">
        <v>25</v>
      </c>
      <c r="R16" s="551" t="str">
        <f t="shared" si="8"/>
        <v>#REF!</v>
      </c>
      <c r="S16" s="551" t="str">
        <f t="shared" si="9"/>
        <v>#REF!</v>
      </c>
      <c r="T16" s="559" t="str">
        <f t="shared" si="4"/>
        <v>#REF!</v>
      </c>
      <c r="U16" s="560" t="str">
        <f t="shared" si="5"/>
        <v>#REF!</v>
      </c>
      <c r="V16" s="529"/>
      <c r="W16" s="529"/>
      <c r="X16" s="529"/>
      <c r="Y16" s="529"/>
      <c r="Z16" s="529"/>
    </row>
    <row r="17" ht="20.25" customHeight="1">
      <c r="A17" s="544">
        <v>10.0</v>
      </c>
      <c r="B17" s="545"/>
      <c r="C17" s="562"/>
      <c r="D17" s="549"/>
      <c r="E17" s="548">
        <f t="shared" si="6"/>
        <v>0</v>
      </c>
      <c r="F17" s="563"/>
      <c r="G17" s="549"/>
      <c r="H17" s="548">
        <f t="shared" si="2"/>
        <v>0</v>
      </c>
      <c r="I17" s="551"/>
      <c r="J17" s="564"/>
      <c r="K17" s="548">
        <f t="shared" si="3"/>
        <v>0</v>
      </c>
      <c r="L17" s="553"/>
      <c r="M17" s="553">
        <v>0.0</v>
      </c>
      <c r="N17" s="565">
        <f t="shared" si="7"/>
        <v>0</v>
      </c>
      <c r="O17" s="556"/>
      <c r="P17" s="544">
        <v>10.0</v>
      </c>
      <c r="Q17" s="557" t="s">
        <v>26</v>
      </c>
      <c r="R17" s="551" t="str">
        <f t="shared" si="8"/>
        <v>#REF!</v>
      </c>
      <c r="S17" s="551" t="str">
        <f t="shared" si="9"/>
        <v>#REF!</v>
      </c>
      <c r="T17" s="559" t="str">
        <f t="shared" si="4"/>
        <v>#REF!</v>
      </c>
      <c r="U17" s="560" t="str">
        <f t="shared" si="5"/>
        <v>#REF!</v>
      </c>
      <c r="V17" s="529"/>
      <c r="W17" s="529"/>
      <c r="X17" s="529"/>
      <c r="Y17" s="529"/>
      <c r="Z17" s="529"/>
    </row>
    <row r="18" ht="20.25" customHeight="1">
      <c r="A18" s="544">
        <v>11.0</v>
      </c>
      <c r="B18" s="545"/>
      <c r="C18" s="562"/>
      <c r="D18" s="549"/>
      <c r="E18" s="548">
        <f t="shared" si="6"/>
        <v>0</v>
      </c>
      <c r="F18" s="563"/>
      <c r="G18" s="549"/>
      <c r="H18" s="548">
        <f t="shared" si="2"/>
        <v>0</v>
      </c>
      <c r="I18" s="551"/>
      <c r="J18" s="567"/>
      <c r="K18" s="548">
        <f t="shared" si="3"/>
        <v>0</v>
      </c>
      <c r="L18" s="553"/>
      <c r="M18" s="553">
        <v>0.0</v>
      </c>
      <c r="N18" s="565">
        <f t="shared" si="7"/>
        <v>0</v>
      </c>
      <c r="O18" s="556"/>
      <c r="P18" s="544">
        <v>11.0</v>
      </c>
      <c r="Q18" s="557" t="s">
        <v>27</v>
      </c>
      <c r="R18" s="551" t="str">
        <f t="shared" si="8"/>
        <v>#REF!</v>
      </c>
      <c r="S18" s="551" t="str">
        <f t="shared" si="9"/>
        <v>#REF!</v>
      </c>
      <c r="T18" s="559" t="str">
        <f t="shared" si="4"/>
        <v>#REF!</v>
      </c>
      <c r="U18" s="560" t="str">
        <f t="shared" si="5"/>
        <v>#REF!</v>
      </c>
      <c r="V18" s="529"/>
      <c r="W18" s="529"/>
      <c r="X18" s="529"/>
      <c r="Y18" s="529"/>
      <c r="Z18" s="529"/>
    </row>
    <row r="19" ht="20.25" customHeight="1">
      <c r="A19" s="544">
        <v>12.0</v>
      </c>
      <c r="B19" s="545"/>
      <c r="C19" s="562"/>
      <c r="D19" s="549"/>
      <c r="E19" s="548">
        <f t="shared" si="6"/>
        <v>0</v>
      </c>
      <c r="F19" s="563"/>
      <c r="G19" s="549"/>
      <c r="H19" s="548">
        <f t="shared" si="2"/>
        <v>0</v>
      </c>
      <c r="I19" s="551"/>
      <c r="J19" s="564"/>
      <c r="K19" s="548">
        <f t="shared" si="3"/>
        <v>0</v>
      </c>
      <c r="L19" s="553"/>
      <c r="M19" s="553">
        <v>0.0</v>
      </c>
      <c r="N19" s="565">
        <f t="shared" si="7"/>
        <v>0</v>
      </c>
      <c r="O19" s="556"/>
      <c r="P19" s="544">
        <v>12.0</v>
      </c>
      <c r="Q19" s="557" t="s">
        <v>28</v>
      </c>
      <c r="R19" s="551" t="str">
        <f t="shared" si="8"/>
        <v>#REF!</v>
      </c>
      <c r="S19" s="551" t="str">
        <f t="shared" si="9"/>
        <v>#REF!</v>
      </c>
      <c r="T19" s="559" t="str">
        <f t="shared" si="4"/>
        <v>#REF!</v>
      </c>
      <c r="U19" s="560" t="str">
        <f t="shared" si="5"/>
        <v>#REF!</v>
      </c>
      <c r="V19" s="529"/>
      <c r="W19" s="529"/>
      <c r="X19" s="529"/>
      <c r="Y19" s="529"/>
      <c r="Z19" s="529"/>
    </row>
    <row r="20" ht="20.25" customHeight="1">
      <c r="A20" s="544">
        <v>13.0</v>
      </c>
      <c r="B20" s="545"/>
      <c r="C20" s="562"/>
      <c r="D20" s="549"/>
      <c r="E20" s="548">
        <f t="shared" si="6"/>
        <v>0</v>
      </c>
      <c r="F20" s="563"/>
      <c r="G20" s="549"/>
      <c r="H20" s="548">
        <f t="shared" si="2"/>
        <v>0</v>
      </c>
      <c r="I20" s="551"/>
      <c r="J20" s="564"/>
      <c r="K20" s="548">
        <f t="shared" si="3"/>
        <v>0</v>
      </c>
      <c r="L20" s="553"/>
      <c r="M20" s="553">
        <v>0.0</v>
      </c>
      <c r="N20" s="565">
        <f t="shared" si="7"/>
        <v>0</v>
      </c>
      <c r="O20" s="556"/>
      <c r="P20" s="544">
        <v>13.0</v>
      </c>
      <c r="Q20" s="557" t="s">
        <v>29</v>
      </c>
      <c r="R20" s="551" t="str">
        <f t="shared" si="8"/>
        <v>#REF!</v>
      </c>
      <c r="S20" s="551" t="str">
        <f t="shared" si="9"/>
        <v>#REF!</v>
      </c>
      <c r="T20" s="559" t="str">
        <f t="shared" si="4"/>
        <v>#REF!</v>
      </c>
      <c r="U20" s="560" t="str">
        <f t="shared" si="5"/>
        <v>#REF!</v>
      </c>
      <c r="V20" s="529"/>
      <c r="W20" s="529"/>
      <c r="X20" s="529"/>
      <c r="Y20" s="529"/>
      <c r="Z20" s="529"/>
    </row>
    <row r="21" ht="20.25" customHeight="1">
      <c r="A21" s="544">
        <v>14.0</v>
      </c>
      <c r="B21" s="545"/>
      <c r="C21" s="562"/>
      <c r="D21" s="549"/>
      <c r="E21" s="548">
        <f t="shared" si="6"/>
        <v>0</v>
      </c>
      <c r="F21" s="563"/>
      <c r="G21" s="549"/>
      <c r="H21" s="548">
        <f t="shared" si="2"/>
        <v>0</v>
      </c>
      <c r="I21" s="551"/>
      <c r="J21" s="564"/>
      <c r="K21" s="548">
        <f t="shared" si="3"/>
        <v>0</v>
      </c>
      <c r="L21" s="553"/>
      <c r="M21" s="553">
        <v>0.0</v>
      </c>
      <c r="N21" s="565">
        <f t="shared" si="7"/>
        <v>0</v>
      </c>
      <c r="O21" s="556"/>
      <c r="P21" s="544">
        <v>14.0</v>
      </c>
      <c r="Q21" s="557" t="s">
        <v>30</v>
      </c>
      <c r="R21" s="551" t="str">
        <f t="shared" si="8"/>
        <v>#REF!</v>
      </c>
      <c r="S21" s="551" t="str">
        <f t="shared" si="9"/>
        <v>#REF!</v>
      </c>
      <c r="T21" s="559" t="str">
        <f t="shared" si="4"/>
        <v>#REF!</v>
      </c>
      <c r="U21" s="560" t="str">
        <f t="shared" si="5"/>
        <v>#REF!</v>
      </c>
      <c r="V21" s="529"/>
      <c r="W21" s="529"/>
      <c r="X21" s="529"/>
      <c r="Y21" s="529"/>
      <c r="Z21" s="529"/>
    </row>
    <row r="22" ht="20.25" customHeight="1">
      <c r="A22" s="544">
        <v>15.0</v>
      </c>
      <c r="B22" s="545"/>
      <c r="C22" s="562"/>
      <c r="D22" s="549"/>
      <c r="E22" s="548">
        <f t="shared" si="6"/>
        <v>0</v>
      </c>
      <c r="F22" s="563"/>
      <c r="G22" s="549"/>
      <c r="H22" s="548">
        <f t="shared" si="2"/>
        <v>0</v>
      </c>
      <c r="I22" s="551"/>
      <c r="J22" s="564"/>
      <c r="K22" s="548">
        <f t="shared" si="3"/>
        <v>0</v>
      </c>
      <c r="L22" s="553"/>
      <c r="M22" s="553">
        <v>0.0</v>
      </c>
      <c r="N22" s="565">
        <f t="shared" si="7"/>
        <v>0</v>
      </c>
      <c r="O22" s="556"/>
      <c r="P22" s="544">
        <v>15.0</v>
      </c>
      <c r="Q22" s="557" t="s">
        <v>31</v>
      </c>
      <c r="R22" s="551" t="str">
        <f t="shared" si="8"/>
        <v>#REF!</v>
      </c>
      <c r="S22" s="551" t="str">
        <f t="shared" si="9"/>
        <v>#REF!</v>
      </c>
      <c r="T22" s="559" t="str">
        <f t="shared" si="4"/>
        <v>#REF!</v>
      </c>
      <c r="U22" s="560" t="str">
        <f t="shared" si="5"/>
        <v>#REF!</v>
      </c>
      <c r="V22" s="529"/>
      <c r="W22" s="529"/>
      <c r="X22" s="529"/>
      <c r="Y22" s="529"/>
      <c r="Z22" s="529"/>
    </row>
    <row r="23" ht="20.25" customHeight="1">
      <c r="A23" s="544">
        <v>16.0</v>
      </c>
      <c r="B23" s="545"/>
      <c r="C23" s="562"/>
      <c r="D23" s="549"/>
      <c r="E23" s="548">
        <f t="shared" si="6"/>
        <v>0</v>
      </c>
      <c r="F23" s="563"/>
      <c r="G23" s="549"/>
      <c r="H23" s="548">
        <f t="shared" si="2"/>
        <v>0</v>
      </c>
      <c r="I23" s="551"/>
      <c r="J23" s="564"/>
      <c r="K23" s="548">
        <f t="shared" si="3"/>
        <v>0</v>
      </c>
      <c r="L23" s="553"/>
      <c r="M23" s="553">
        <v>0.0</v>
      </c>
      <c r="N23" s="565">
        <f t="shared" si="7"/>
        <v>0</v>
      </c>
      <c r="O23" s="556"/>
      <c r="P23" s="544">
        <v>16.0</v>
      </c>
      <c r="Q23" s="557" t="s">
        <v>32</v>
      </c>
      <c r="R23" s="551" t="str">
        <f t="shared" si="8"/>
        <v>#REF!</v>
      </c>
      <c r="S23" s="551" t="str">
        <f t="shared" si="9"/>
        <v>#REF!</v>
      </c>
      <c r="T23" s="559" t="str">
        <f t="shared" si="4"/>
        <v>#REF!</v>
      </c>
      <c r="U23" s="560" t="str">
        <f t="shared" si="5"/>
        <v>#REF!</v>
      </c>
      <c r="V23" s="529"/>
      <c r="W23" s="529"/>
      <c r="X23" s="529"/>
      <c r="Y23" s="529"/>
      <c r="Z23" s="529"/>
    </row>
    <row r="24" ht="20.25" customHeight="1">
      <c r="A24" s="544">
        <v>17.0</v>
      </c>
      <c r="B24" s="545"/>
      <c r="C24" s="562"/>
      <c r="D24" s="549"/>
      <c r="E24" s="548">
        <f t="shared" si="6"/>
        <v>0</v>
      </c>
      <c r="F24" s="563"/>
      <c r="G24" s="549"/>
      <c r="H24" s="548">
        <f t="shared" si="2"/>
        <v>0</v>
      </c>
      <c r="I24" s="551"/>
      <c r="J24" s="564"/>
      <c r="K24" s="548">
        <f t="shared" si="3"/>
        <v>0</v>
      </c>
      <c r="L24" s="553"/>
      <c r="M24" s="553">
        <v>0.0</v>
      </c>
      <c r="N24" s="565">
        <f t="shared" si="7"/>
        <v>0</v>
      </c>
      <c r="O24" s="556"/>
      <c r="P24" s="544">
        <v>17.0</v>
      </c>
      <c r="Q24" s="557" t="s">
        <v>33</v>
      </c>
      <c r="R24" s="551" t="str">
        <f t="shared" si="8"/>
        <v>#REF!</v>
      </c>
      <c r="S24" s="551" t="str">
        <f t="shared" si="9"/>
        <v>#REF!</v>
      </c>
      <c r="T24" s="559" t="str">
        <f t="shared" si="4"/>
        <v>#REF!</v>
      </c>
      <c r="U24" s="560" t="str">
        <f t="shared" si="5"/>
        <v>#REF!</v>
      </c>
      <c r="V24" s="529"/>
      <c r="W24" s="529"/>
      <c r="X24" s="529"/>
      <c r="Y24" s="529"/>
      <c r="Z24" s="529"/>
    </row>
    <row r="25" ht="20.25" customHeight="1">
      <c r="A25" s="544">
        <v>18.0</v>
      </c>
      <c r="B25" s="545"/>
      <c r="C25" s="562"/>
      <c r="D25" s="549"/>
      <c r="E25" s="548">
        <f t="shared" si="6"/>
        <v>0</v>
      </c>
      <c r="F25" s="563"/>
      <c r="G25" s="549"/>
      <c r="H25" s="548">
        <f t="shared" si="2"/>
        <v>0</v>
      </c>
      <c r="I25" s="551"/>
      <c r="J25" s="564"/>
      <c r="K25" s="548">
        <f t="shared" si="3"/>
        <v>0</v>
      </c>
      <c r="L25" s="553"/>
      <c r="M25" s="553">
        <v>0.0</v>
      </c>
      <c r="N25" s="565">
        <f t="shared" si="7"/>
        <v>0</v>
      </c>
      <c r="O25" s="556"/>
      <c r="P25" s="544">
        <v>18.0</v>
      </c>
      <c r="Q25" s="557" t="s">
        <v>34</v>
      </c>
      <c r="R25" s="551" t="str">
        <f t="shared" si="8"/>
        <v>#REF!</v>
      </c>
      <c r="S25" s="551" t="str">
        <f t="shared" si="9"/>
        <v>#REF!</v>
      </c>
      <c r="T25" s="559" t="str">
        <f t="shared" si="4"/>
        <v>#REF!</v>
      </c>
      <c r="U25" s="560" t="str">
        <f t="shared" si="5"/>
        <v>#REF!</v>
      </c>
      <c r="V25" s="529"/>
      <c r="W25" s="529"/>
      <c r="X25" s="529"/>
      <c r="Y25" s="529"/>
      <c r="Z25" s="529"/>
    </row>
    <row r="26" ht="20.25" customHeight="1">
      <c r="A26" s="544">
        <v>19.0</v>
      </c>
      <c r="B26" s="568"/>
      <c r="C26" s="562"/>
      <c r="D26" s="549"/>
      <c r="E26" s="548">
        <f t="shared" si="6"/>
        <v>0</v>
      </c>
      <c r="F26" s="563"/>
      <c r="G26" s="549"/>
      <c r="H26" s="548">
        <f t="shared" si="2"/>
        <v>0</v>
      </c>
      <c r="I26" s="551"/>
      <c r="J26" s="564"/>
      <c r="K26" s="548">
        <f t="shared" si="3"/>
        <v>0</v>
      </c>
      <c r="L26" s="553"/>
      <c r="M26" s="553">
        <v>0.0</v>
      </c>
      <c r="N26" s="565">
        <f t="shared" si="7"/>
        <v>0</v>
      </c>
      <c r="O26" s="556"/>
      <c r="P26" s="544">
        <v>19.0</v>
      </c>
      <c r="Q26" s="569" t="s">
        <v>35</v>
      </c>
      <c r="R26" s="551" t="str">
        <f t="shared" si="8"/>
        <v>#REF!</v>
      </c>
      <c r="S26" s="551" t="str">
        <f t="shared" si="9"/>
        <v>#REF!</v>
      </c>
      <c r="T26" s="559" t="str">
        <f t="shared" si="4"/>
        <v>#REF!</v>
      </c>
      <c r="U26" s="560" t="str">
        <f t="shared" si="5"/>
        <v>#REF!</v>
      </c>
      <c r="V26" s="529"/>
      <c r="W26" s="529"/>
      <c r="X26" s="529"/>
      <c r="Y26" s="529"/>
      <c r="Z26" s="529"/>
    </row>
    <row r="27" ht="20.25" customHeight="1">
      <c r="A27" s="538" t="s">
        <v>36</v>
      </c>
      <c r="B27" s="21"/>
      <c r="C27" s="570"/>
      <c r="D27" s="570"/>
      <c r="E27" s="571">
        <f t="shared" ref="E27:N27" si="10">SUM(E8:E26)</f>
        <v>532700</v>
      </c>
      <c r="F27" s="570">
        <f t="shared" si="10"/>
        <v>0</v>
      </c>
      <c r="G27" s="570">
        <f t="shared" si="10"/>
        <v>0</v>
      </c>
      <c r="H27" s="571">
        <f t="shared" si="10"/>
        <v>0</v>
      </c>
      <c r="I27" s="572">
        <f t="shared" si="10"/>
        <v>0</v>
      </c>
      <c r="J27" s="573">
        <f t="shared" si="10"/>
        <v>0</v>
      </c>
      <c r="K27" s="571">
        <f t="shared" si="10"/>
        <v>0</v>
      </c>
      <c r="L27" s="572">
        <f t="shared" si="10"/>
        <v>0</v>
      </c>
      <c r="M27" s="572">
        <f t="shared" si="10"/>
        <v>0</v>
      </c>
      <c r="N27" s="574">
        <f t="shared" si="10"/>
        <v>0</v>
      </c>
      <c r="O27" s="529"/>
      <c r="P27" s="538" t="s">
        <v>36</v>
      </c>
      <c r="Q27" s="21"/>
      <c r="R27" s="575" t="str">
        <f t="shared" ref="R27:S27" si="11">SUM(R8:R26)</f>
        <v>#REF!</v>
      </c>
      <c r="S27" s="558" t="str">
        <f t="shared" si="11"/>
        <v>#REF!</v>
      </c>
      <c r="T27" s="559" t="str">
        <f t="shared" si="4"/>
        <v>#REF!</v>
      </c>
      <c r="U27" s="560" t="str">
        <f t="shared" si="5"/>
        <v>#REF!</v>
      </c>
      <c r="V27" s="529"/>
      <c r="W27" s="529"/>
      <c r="X27" s="529"/>
      <c r="Y27" s="529"/>
      <c r="Z27" s="529"/>
    </row>
    <row r="28" ht="20.25" customHeight="1">
      <c r="A28" s="529"/>
      <c r="B28" s="529"/>
      <c r="C28" s="529"/>
      <c r="D28" s="529"/>
      <c r="E28" s="576"/>
      <c r="F28" s="529"/>
      <c r="G28" s="529"/>
      <c r="H28" s="576"/>
      <c r="I28" s="529"/>
      <c r="J28" s="529"/>
      <c r="K28" s="576"/>
      <c r="L28" s="529"/>
      <c r="M28" s="529"/>
      <c r="N28" s="576"/>
      <c r="O28" s="529"/>
      <c r="P28" s="529"/>
      <c r="Q28" s="529"/>
      <c r="R28" s="529"/>
      <c r="S28" s="529"/>
      <c r="T28" s="529"/>
      <c r="U28" s="529"/>
      <c r="V28" s="529"/>
      <c r="W28" s="529"/>
      <c r="X28" s="529"/>
      <c r="Y28" s="529"/>
      <c r="Z28" s="529"/>
    </row>
    <row r="29" ht="20.25" customHeight="1">
      <c r="A29" s="529"/>
      <c r="B29" s="529"/>
      <c r="C29" s="529"/>
      <c r="D29" s="529"/>
      <c r="E29" s="576"/>
      <c r="F29" s="529"/>
      <c r="G29" s="529"/>
      <c r="H29" s="576"/>
      <c r="I29" s="529"/>
      <c r="J29" s="529"/>
      <c r="K29" s="576"/>
      <c r="L29" s="529"/>
      <c r="M29" s="529"/>
      <c r="N29" s="576"/>
      <c r="O29" s="529"/>
      <c r="P29" s="529"/>
      <c r="Q29" s="529"/>
      <c r="R29" s="529"/>
      <c r="S29" s="529"/>
      <c r="T29" s="529"/>
      <c r="U29" s="529"/>
      <c r="V29" s="529"/>
      <c r="W29" s="529"/>
      <c r="X29" s="529"/>
      <c r="Y29" s="529"/>
      <c r="Z29" s="529"/>
    </row>
    <row r="30" ht="20.25" customHeight="1">
      <c r="A30" s="529"/>
      <c r="B30" s="529"/>
      <c r="C30" s="529"/>
      <c r="D30" s="529"/>
      <c r="E30" s="576"/>
      <c r="F30" s="529"/>
      <c r="G30" s="529"/>
      <c r="H30" s="576"/>
      <c r="I30" s="529"/>
      <c r="J30" s="529"/>
      <c r="K30" s="576"/>
      <c r="L30" s="529"/>
      <c r="M30" s="529"/>
      <c r="N30" s="576"/>
      <c r="O30" s="529"/>
      <c r="P30" s="529"/>
      <c r="Q30" s="529"/>
      <c r="R30" s="529"/>
      <c r="S30" s="529"/>
      <c r="T30" s="529"/>
      <c r="U30" s="529"/>
      <c r="V30" s="529"/>
      <c r="W30" s="529"/>
      <c r="X30" s="529"/>
      <c r="Y30" s="529"/>
      <c r="Z30" s="529"/>
    </row>
    <row r="31" ht="20.25" customHeight="1">
      <c r="A31" s="529"/>
      <c r="B31" s="529"/>
      <c r="C31" s="529"/>
      <c r="D31" s="529"/>
      <c r="E31" s="576"/>
      <c r="F31" s="529"/>
      <c r="G31" s="529"/>
      <c r="H31" s="576"/>
      <c r="I31" s="529"/>
      <c r="J31" s="529"/>
      <c r="K31" s="576"/>
      <c r="L31" s="529"/>
      <c r="M31" s="529"/>
      <c r="N31" s="576"/>
      <c r="O31" s="529"/>
      <c r="P31" s="529"/>
      <c r="Q31" s="529"/>
      <c r="R31" s="529"/>
      <c r="S31" s="529"/>
      <c r="T31" s="529"/>
      <c r="U31" s="529"/>
      <c r="V31" s="529"/>
      <c r="W31" s="529"/>
      <c r="X31" s="529"/>
      <c r="Y31" s="529"/>
      <c r="Z31" s="529"/>
    </row>
    <row r="32" ht="20.25" customHeight="1">
      <c r="A32" s="529"/>
      <c r="B32" s="529"/>
      <c r="C32" s="529"/>
      <c r="D32" s="529"/>
      <c r="E32" s="576"/>
      <c r="F32" s="529"/>
      <c r="G32" s="529"/>
      <c r="H32" s="576"/>
      <c r="I32" s="529"/>
      <c r="J32" s="529"/>
      <c r="K32" s="576"/>
      <c r="L32" s="529"/>
      <c r="M32" s="529"/>
      <c r="N32" s="576"/>
      <c r="O32" s="529"/>
      <c r="P32" s="529"/>
      <c r="Q32" s="529"/>
      <c r="R32" s="529"/>
      <c r="S32" s="529"/>
      <c r="T32" s="529"/>
      <c r="U32" s="529"/>
      <c r="V32" s="529"/>
      <c r="W32" s="529"/>
      <c r="X32" s="529"/>
      <c r="Y32" s="529"/>
      <c r="Z32" s="529"/>
    </row>
    <row r="33" ht="20.25" customHeight="1">
      <c r="A33" s="529"/>
      <c r="B33" s="529"/>
      <c r="C33" s="529"/>
      <c r="D33" s="529"/>
      <c r="E33" s="576"/>
      <c r="F33" s="529"/>
      <c r="G33" s="529"/>
      <c r="H33" s="576"/>
      <c r="I33" s="529"/>
      <c r="J33" s="529"/>
      <c r="K33" s="576"/>
      <c r="L33" s="529"/>
      <c r="M33" s="529"/>
      <c r="N33" s="576"/>
      <c r="O33" s="529"/>
      <c r="P33" s="529"/>
      <c r="Q33" s="529"/>
      <c r="R33" s="529"/>
      <c r="S33" s="529"/>
      <c r="T33" s="529"/>
      <c r="U33" s="529"/>
      <c r="V33" s="529"/>
      <c r="W33" s="529"/>
      <c r="X33" s="529"/>
      <c r="Y33" s="529"/>
      <c r="Z33" s="529"/>
    </row>
    <row r="34" ht="20.25" customHeight="1">
      <c r="A34" s="1" t="s">
        <v>0</v>
      </c>
      <c r="O34" s="529"/>
      <c r="P34" s="529"/>
      <c r="Q34" s="529"/>
      <c r="R34" s="529"/>
      <c r="S34" s="529"/>
      <c r="T34" s="529"/>
      <c r="U34" s="529"/>
      <c r="V34" s="529"/>
      <c r="W34" s="529"/>
      <c r="X34" s="529"/>
      <c r="Y34" s="529"/>
      <c r="Z34" s="529"/>
    </row>
    <row r="35" ht="20.25" customHeight="1">
      <c r="A35" s="1" t="s">
        <v>366</v>
      </c>
      <c r="O35" s="529"/>
      <c r="P35" s="529"/>
      <c r="Q35" s="529"/>
      <c r="R35" s="529"/>
      <c r="S35" s="529"/>
      <c r="T35" s="529"/>
      <c r="U35" s="529"/>
      <c r="V35" s="529"/>
      <c r="W35" s="529"/>
      <c r="X35" s="529"/>
      <c r="Y35" s="529"/>
      <c r="Z35" s="529"/>
    </row>
    <row r="36" ht="20.25" customHeight="1">
      <c r="A36" s="532" t="s">
        <v>4</v>
      </c>
      <c r="B36" s="532" t="s">
        <v>5</v>
      </c>
      <c r="C36" s="535" t="s">
        <v>368</v>
      </c>
      <c r="D36" s="7"/>
      <c r="E36" s="8"/>
      <c r="F36" s="535"/>
      <c r="G36" s="7"/>
      <c r="H36" s="8"/>
      <c r="I36" s="535"/>
      <c r="J36" s="7"/>
      <c r="K36" s="8"/>
      <c r="L36" s="577"/>
      <c r="M36" s="7"/>
      <c r="N36" s="8"/>
      <c r="O36" s="529"/>
      <c r="P36" s="529"/>
      <c r="Q36" s="529"/>
      <c r="R36" s="529"/>
      <c r="S36" s="529"/>
      <c r="T36" s="529"/>
      <c r="U36" s="529"/>
      <c r="V36" s="529"/>
      <c r="W36" s="529"/>
      <c r="X36" s="529"/>
      <c r="Y36" s="529"/>
      <c r="Z36" s="529"/>
    </row>
    <row r="37" ht="20.25" customHeight="1">
      <c r="A37" s="12"/>
      <c r="B37" s="12"/>
      <c r="C37" s="14"/>
      <c r="D37" s="15"/>
      <c r="E37" s="16"/>
      <c r="F37" s="14"/>
      <c r="G37" s="15"/>
      <c r="H37" s="16"/>
      <c r="I37" s="14"/>
      <c r="J37" s="15"/>
      <c r="K37" s="16"/>
      <c r="N37" s="13"/>
      <c r="O37" s="529"/>
      <c r="P37" s="529"/>
      <c r="Q37" s="529"/>
      <c r="R37" s="529"/>
      <c r="S37" s="529"/>
      <c r="T37" s="529"/>
      <c r="U37" s="529"/>
      <c r="V37" s="529"/>
      <c r="W37" s="529"/>
      <c r="X37" s="529"/>
      <c r="Y37" s="529"/>
      <c r="Z37" s="529"/>
    </row>
    <row r="38" ht="20.25" customHeight="1">
      <c r="A38" s="12"/>
      <c r="B38" s="12"/>
      <c r="C38" s="578" t="s">
        <v>12</v>
      </c>
      <c r="E38" s="13"/>
      <c r="F38" s="578" t="s">
        <v>12</v>
      </c>
      <c r="H38" s="13"/>
      <c r="I38" s="578" t="s">
        <v>12</v>
      </c>
      <c r="K38" s="13"/>
      <c r="L38" s="537" t="s">
        <v>12</v>
      </c>
      <c r="M38" s="7"/>
      <c r="N38" s="8"/>
      <c r="O38" s="529"/>
      <c r="P38" s="529"/>
      <c r="Q38" s="529"/>
      <c r="R38" s="529"/>
      <c r="S38" s="529"/>
      <c r="T38" s="529"/>
      <c r="U38" s="529"/>
      <c r="V38" s="529"/>
      <c r="W38" s="529"/>
      <c r="X38" s="529"/>
      <c r="Y38" s="529"/>
      <c r="Z38" s="529"/>
    </row>
    <row r="39" ht="20.25" customHeight="1">
      <c r="A39" s="22"/>
      <c r="B39" s="22"/>
      <c r="C39" s="539" t="s">
        <v>13</v>
      </c>
      <c r="D39" s="539" t="s">
        <v>14</v>
      </c>
      <c r="E39" s="540" t="s">
        <v>15</v>
      </c>
      <c r="F39" s="539" t="s">
        <v>13</v>
      </c>
      <c r="G39" s="539" t="s">
        <v>14</v>
      </c>
      <c r="H39" s="540" t="s">
        <v>15</v>
      </c>
      <c r="I39" s="539" t="s">
        <v>13</v>
      </c>
      <c r="J39" s="539" t="s">
        <v>14</v>
      </c>
      <c r="K39" s="540" t="s">
        <v>15</v>
      </c>
      <c r="L39" s="539" t="s">
        <v>13</v>
      </c>
      <c r="M39" s="539" t="s">
        <v>14</v>
      </c>
      <c r="N39" s="540" t="s">
        <v>15</v>
      </c>
      <c r="O39" s="529"/>
      <c r="P39" s="529"/>
      <c r="Q39" s="529"/>
      <c r="R39" s="529"/>
      <c r="S39" s="529"/>
      <c r="T39" s="529"/>
      <c r="U39" s="529"/>
      <c r="V39" s="529"/>
      <c r="W39" s="529"/>
      <c r="X39" s="529"/>
      <c r="Y39" s="529"/>
      <c r="Z39" s="529"/>
    </row>
    <row r="40" ht="20.25" customHeight="1">
      <c r="A40" s="538"/>
      <c r="B40" s="21"/>
      <c r="C40" s="542"/>
      <c r="D40" s="20"/>
      <c r="E40" s="21"/>
      <c r="F40" s="543"/>
      <c r="G40" s="20"/>
      <c r="H40" s="21"/>
      <c r="I40" s="543"/>
      <c r="J40" s="20"/>
      <c r="K40" s="20"/>
      <c r="L40" s="542"/>
      <c r="M40" s="20"/>
      <c r="N40" s="21"/>
      <c r="O40" s="529"/>
      <c r="P40" s="529"/>
      <c r="Q40" s="529"/>
      <c r="R40" s="529"/>
      <c r="S40" s="529"/>
      <c r="T40" s="529"/>
      <c r="U40" s="529"/>
      <c r="V40" s="529"/>
      <c r="W40" s="529"/>
      <c r="X40" s="529"/>
      <c r="Y40" s="529"/>
      <c r="Z40" s="529"/>
    </row>
    <row r="41" ht="20.25" customHeight="1">
      <c r="A41" s="544">
        <v>1.0</v>
      </c>
      <c r="B41" s="545" t="s">
        <v>17</v>
      </c>
      <c r="C41" s="547">
        <v>0.0</v>
      </c>
      <c r="D41" s="552"/>
      <c r="E41" s="548">
        <f t="shared" ref="E41:E59" si="12">SUM(C41-D41)</f>
        <v>0</v>
      </c>
      <c r="F41" s="579"/>
      <c r="G41" s="579"/>
      <c r="H41" s="580">
        <f t="shared" ref="H41:H59" si="13">SUM(F41-G41)</f>
        <v>0</v>
      </c>
      <c r="I41" s="581"/>
      <c r="J41" s="582"/>
      <c r="K41" s="583">
        <f>SUM(I41-J41)</f>
        <v>0</v>
      </c>
      <c r="L41" s="581"/>
      <c r="M41" s="581"/>
      <c r="N41" s="584">
        <f>SUM(L41-M41)</f>
        <v>0</v>
      </c>
      <c r="O41" s="529"/>
      <c r="P41" s="529"/>
      <c r="Q41" s="529"/>
      <c r="R41" s="529"/>
      <c r="S41" s="529"/>
      <c r="T41" s="529"/>
      <c r="U41" s="529"/>
      <c r="V41" s="529"/>
      <c r="W41" s="529"/>
      <c r="X41" s="529"/>
      <c r="Y41" s="529"/>
      <c r="Z41" s="529"/>
    </row>
    <row r="42" ht="20.25" customHeight="1">
      <c r="A42" s="544">
        <v>2.0</v>
      </c>
      <c r="B42" s="561" t="s">
        <v>18</v>
      </c>
      <c r="C42" s="549"/>
      <c r="D42" s="552"/>
      <c r="E42" s="548">
        <f t="shared" si="12"/>
        <v>0</v>
      </c>
      <c r="F42" s="579">
        <v>0.0</v>
      </c>
      <c r="G42" s="579">
        <v>0.0</v>
      </c>
      <c r="H42" s="580">
        <f t="shared" si="13"/>
        <v>0</v>
      </c>
      <c r="I42" s="585"/>
      <c r="J42" s="586"/>
      <c r="K42" s="580"/>
      <c r="L42" s="587"/>
      <c r="M42" s="588"/>
      <c r="N42" s="580"/>
      <c r="O42" s="529"/>
      <c r="P42" s="529"/>
      <c r="Q42" s="529"/>
      <c r="R42" s="529"/>
      <c r="S42" s="529"/>
      <c r="T42" s="529"/>
      <c r="U42" s="529"/>
      <c r="V42" s="529"/>
      <c r="W42" s="529"/>
      <c r="X42" s="529"/>
      <c r="Y42" s="529"/>
      <c r="Z42" s="529"/>
    </row>
    <row r="43" ht="20.25" customHeight="1">
      <c r="A43" s="544">
        <v>3.0</v>
      </c>
      <c r="B43" s="545" t="s">
        <v>19</v>
      </c>
      <c r="C43" s="549"/>
      <c r="D43" s="552"/>
      <c r="E43" s="548">
        <f t="shared" si="12"/>
        <v>0</v>
      </c>
      <c r="F43" s="579">
        <v>0.0</v>
      </c>
      <c r="G43" s="579">
        <v>0.0</v>
      </c>
      <c r="H43" s="580">
        <f t="shared" si="13"/>
        <v>0</v>
      </c>
      <c r="I43" s="585"/>
      <c r="J43" s="586"/>
      <c r="K43" s="580"/>
      <c r="L43" s="587"/>
      <c r="M43" s="588"/>
      <c r="N43" s="580"/>
      <c r="O43" s="529"/>
      <c r="P43" s="529"/>
      <c r="Q43" s="529"/>
      <c r="R43" s="529"/>
      <c r="S43" s="529"/>
      <c r="T43" s="529"/>
      <c r="U43" s="529"/>
      <c r="V43" s="529"/>
      <c r="W43" s="529"/>
      <c r="X43" s="529"/>
      <c r="Y43" s="529"/>
      <c r="Z43" s="529"/>
    </row>
    <row r="44" ht="20.25" customHeight="1">
      <c r="A44" s="544">
        <v>4.0</v>
      </c>
      <c r="B44" s="545" t="s">
        <v>20</v>
      </c>
      <c r="C44" s="549"/>
      <c r="D44" s="552"/>
      <c r="E44" s="548">
        <f t="shared" si="12"/>
        <v>0</v>
      </c>
      <c r="F44" s="579">
        <v>0.0</v>
      </c>
      <c r="G44" s="579">
        <v>0.0</v>
      </c>
      <c r="H44" s="580">
        <f t="shared" si="13"/>
        <v>0</v>
      </c>
      <c r="I44" s="585"/>
      <c r="J44" s="586"/>
      <c r="K44" s="580"/>
      <c r="L44" s="587"/>
      <c r="M44" s="588"/>
      <c r="N44" s="580"/>
      <c r="O44" s="529"/>
      <c r="P44" s="529"/>
      <c r="Q44" s="529"/>
      <c r="R44" s="529"/>
      <c r="S44" s="529"/>
      <c r="T44" s="529"/>
      <c r="U44" s="529"/>
      <c r="V44" s="529"/>
      <c r="W44" s="529"/>
      <c r="X44" s="529"/>
      <c r="Y44" s="529"/>
      <c r="Z44" s="529"/>
    </row>
    <row r="45" ht="20.25" customHeight="1">
      <c r="A45" s="544">
        <v>5.0</v>
      </c>
      <c r="B45" s="545" t="s">
        <v>21</v>
      </c>
      <c r="C45" s="549"/>
      <c r="D45" s="552"/>
      <c r="E45" s="548">
        <f t="shared" si="12"/>
        <v>0</v>
      </c>
      <c r="F45" s="579">
        <v>0.0</v>
      </c>
      <c r="G45" s="579">
        <v>0.0</v>
      </c>
      <c r="H45" s="580">
        <f t="shared" si="13"/>
        <v>0</v>
      </c>
      <c r="I45" s="585"/>
      <c r="J45" s="586"/>
      <c r="K45" s="580"/>
      <c r="L45" s="587"/>
      <c r="M45" s="588"/>
      <c r="N45" s="580"/>
      <c r="O45" s="529"/>
      <c r="P45" s="529"/>
      <c r="Q45" s="529"/>
      <c r="R45" s="529"/>
      <c r="S45" s="529"/>
      <c r="T45" s="529"/>
      <c r="U45" s="529"/>
      <c r="V45" s="529"/>
      <c r="W45" s="529"/>
      <c r="X45" s="529"/>
      <c r="Y45" s="529"/>
      <c r="Z45" s="529"/>
    </row>
    <row r="46" ht="20.25" customHeight="1">
      <c r="A46" s="544">
        <v>6.0</v>
      </c>
      <c r="B46" s="545" t="s">
        <v>22</v>
      </c>
      <c r="C46" s="549"/>
      <c r="D46" s="552"/>
      <c r="E46" s="548">
        <f t="shared" si="12"/>
        <v>0</v>
      </c>
      <c r="F46" s="579">
        <v>0.0</v>
      </c>
      <c r="G46" s="579">
        <v>0.0</v>
      </c>
      <c r="H46" s="580">
        <f t="shared" si="13"/>
        <v>0</v>
      </c>
      <c r="I46" s="585"/>
      <c r="J46" s="586"/>
      <c r="K46" s="580"/>
      <c r="L46" s="587"/>
      <c r="M46" s="588"/>
      <c r="N46" s="580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</row>
    <row r="47" ht="20.25" customHeight="1">
      <c r="A47" s="544">
        <v>7.0</v>
      </c>
      <c r="B47" s="545" t="s">
        <v>23</v>
      </c>
      <c r="C47" s="549"/>
      <c r="D47" s="552"/>
      <c r="E47" s="548">
        <f t="shared" si="12"/>
        <v>0</v>
      </c>
      <c r="F47" s="579">
        <v>0.0</v>
      </c>
      <c r="G47" s="579">
        <v>0.0</v>
      </c>
      <c r="H47" s="580">
        <f t="shared" si="13"/>
        <v>0</v>
      </c>
      <c r="I47" s="585"/>
      <c r="J47" s="586"/>
      <c r="K47" s="580"/>
      <c r="L47" s="587"/>
      <c r="M47" s="588"/>
      <c r="N47" s="580"/>
      <c r="O47" s="529"/>
      <c r="P47" s="529"/>
      <c r="Q47" s="529"/>
      <c r="R47" s="529"/>
      <c r="S47" s="529"/>
      <c r="T47" s="529"/>
      <c r="U47" s="529"/>
      <c r="V47" s="529"/>
      <c r="W47" s="529"/>
      <c r="X47" s="529"/>
      <c r="Y47" s="529"/>
      <c r="Z47" s="529"/>
    </row>
    <row r="48" ht="20.25" customHeight="1">
      <c r="A48" s="544">
        <v>8.0</v>
      </c>
      <c r="B48" s="545" t="s">
        <v>24</v>
      </c>
      <c r="C48" s="549"/>
      <c r="D48" s="552"/>
      <c r="E48" s="548">
        <f t="shared" si="12"/>
        <v>0</v>
      </c>
      <c r="F48" s="579">
        <v>0.0</v>
      </c>
      <c r="G48" s="579">
        <v>0.0</v>
      </c>
      <c r="H48" s="580">
        <f t="shared" si="13"/>
        <v>0</v>
      </c>
      <c r="I48" s="585"/>
      <c r="J48" s="586"/>
      <c r="K48" s="580"/>
      <c r="L48" s="587"/>
      <c r="M48" s="588"/>
      <c r="N48" s="580"/>
      <c r="O48" s="529"/>
      <c r="P48" s="529"/>
      <c r="Q48" s="529"/>
      <c r="R48" s="529"/>
      <c r="S48" s="529"/>
      <c r="T48" s="529"/>
      <c r="U48" s="529"/>
      <c r="V48" s="529"/>
      <c r="W48" s="529"/>
      <c r="X48" s="529"/>
      <c r="Y48" s="529"/>
      <c r="Z48" s="529"/>
    </row>
    <row r="49" ht="20.25" customHeight="1">
      <c r="A49" s="544">
        <v>9.0</v>
      </c>
      <c r="B49" s="545" t="s">
        <v>25</v>
      </c>
      <c r="C49" s="549"/>
      <c r="D49" s="552"/>
      <c r="E49" s="548">
        <f t="shared" si="12"/>
        <v>0</v>
      </c>
      <c r="F49" s="579">
        <v>0.0</v>
      </c>
      <c r="G49" s="579">
        <v>0.0</v>
      </c>
      <c r="H49" s="580">
        <f t="shared" si="13"/>
        <v>0</v>
      </c>
      <c r="I49" s="585"/>
      <c r="J49" s="586"/>
      <c r="K49" s="580"/>
      <c r="L49" s="587"/>
      <c r="M49" s="588"/>
      <c r="N49" s="580"/>
      <c r="O49" s="529"/>
      <c r="P49" s="529"/>
      <c r="Q49" s="529"/>
      <c r="R49" s="529"/>
      <c r="S49" s="529"/>
      <c r="T49" s="529"/>
      <c r="U49" s="529"/>
      <c r="V49" s="529"/>
      <c r="W49" s="529"/>
      <c r="X49" s="529"/>
      <c r="Y49" s="529"/>
      <c r="Z49" s="529"/>
    </row>
    <row r="50" ht="20.25" customHeight="1">
      <c r="A50" s="544">
        <v>10.0</v>
      </c>
      <c r="B50" s="545" t="s">
        <v>26</v>
      </c>
      <c r="C50" s="549"/>
      <c r="D50" s="552"/>
      <c r="E50" s="548">
        <f t="shared" si="12"/>
        <v>0</v>
      </c>
      <c r="F50" s="579">
        <v>0.0</v>
      </c>
      <c r="G50" s="579">
        <v>0.0</v>
      </c>
      <c r="H50" s="580">
        <f t="shared" si="13"/>
        <v>0</v>
      </c>
      <c r="I50" s="585"/>
      <c r="J50" s="586"/>
      <c r="K50" s="580"/>
      <c r="L50" s="587"/>
      <c r="M50" s="588"/>
      <c r="N50" s="580"/>
      <c r="O50" s="529"/>
      <c r="P50" s="529"/>
      <c r="Q50" s="529"/>
      <c r="R50" s="529"/>
      <c r="S50" s="529"/>
      <c r="T50" s="529"/>
      <c r="U50" s="529"/>
      <c r="V50" s="529"/>
      <c r="W50" s="529"/>
      <c r="X50" s="529"/>
      <c r="Y50" s="529"/>
      <c r="Z50" s="529"/>
    </row>
    <row r="51" ht="20.25" customHeight="1">
      <c r="A51" s="544">
        <v>11.0</v>
      </c>
      <c r="B51" s="545" t="s">
        <v>27</v>
      </c>
      <c r="C51" s="549"/>
      <c r="D51" s="552"/>
      <c r="E51" s="548">
        <f t="shared" si="12"/>
        <v>0</v>
      </c>
      <c r="F51" s="579">
        <v>0.0</v>
      </c>
      <c r="G51" s="579">
        <v>0.0</v>
      </c>
      <c r="H51" s="580">
        <f t="shared" si="13"/>
        <v>0</v>
      </c>
      <c r="I51" s="585"/>
      <c r="J51" s="586"/>
      <c r="K51" s="580"/>
      <c r="L51" s="587"/>
      <c r="M51" s="588"/>
      <c r="N51" s="580"/>
      <c r="O51" s="529"/>
      <c r="P51" s="529"/>
      <c r="Q51" s="529"/>
      <c r="R51" s="529"/>
      <c r="S51" s="529"/>
      <c r="T51" s="529"/>
      <c r="U51" s="529"/>
      <c r="V51" s="529"/>
      <c r="W51" s="529"/>
      <c r="X51" s="529"/>
      <c r="Y51" s="529"/>
      <c r="Z51" s="529"/>
    </row>
    <row r="52" ht="20.25" customHeight="1">
      <c r="A52" s="544">
        <v>12.0</v>
      </c>
      <c r="B52" s="545" t="s">
        <v>28</v>
      </c>
      <c r="C52" s="549"/>
      <c r="D52" s="552"/>
      <c r="E52" s="548">
        <f t="shared" si="12"/>
        <v>0</v>
      </c>
      <c r="F52" s="579">
        <v>0.0</v>
      </c>
      <c r="G52" s="579">
        <v>0.0</v>
      </c>
      <c r="H52" s="580">
        <f t="shared" si="13"/>
        <v>0</v>
      </c>
      <c r="I52" s="585"/>
      <c r="J52" s="586"/>
      <c r="K52" s="580"/>
      <c r="L52" s="587"/>
      <c r="M52" s="588"/>
      <c r="N52" s="580"/>
      <c r="O52" s="529"/>
      <c r="P52" s="529"/>
      <c r="Q52" s="529"/>
      <c r="R52" s="529"/>
      <c r="S52" s="529"/>
      <c r="T52" s="529"/>
      <c r="U52" s="529"/>
      <c r="V52" s="529"/>
      <c r="W52" s="529"/>
      <c r="X52" s="529"/>
      <c r="Y52" s="529"/>
      <c r="Z52" s="529"/>
    </row>
    <row r="53" ht="20.25" customHeight="1">
      <c r="A53" s="544">
        <v>13.0</v>
      </c>
      <c r="B53" s="545" t="s">
        <v>29</v>
      </c>
      <c r="C53" s="549"/>
      <c r="D53" s="552"/>
      <c r="E53" s="548">
        <f t="shared" si="12"/>
        <v>0</v>
      </c>
      <c r="F53" s="579">
        <v>0.0</v>
      </c>
      <c r="G53" s="579">
        <v>0.0</v>
      </c>
      <c r="H53" s="580">
        <f t="shared" si="13"/>
        <v>0</v>
      </c>
      <c r="I53" s="585"/>
      <c r="J53" s="586"/>
      <c r="K53" s="580"/>
      <c r="L53" s="587"/>
      <c r="M53" s="588"/>
      <c r="N53" s="580"/>
      <c r="O53" s="529"/>
      <c r="P53" s="529"/>
      <c r="Q53" s="529"/>
      <c r="R53" s="529"/>
      <c r="S53" s="529"/>
      <c r="T53" s="529"/>
      <c r="U53" s="529"/>
      <c r="V53" s="529"/>
      <c r="W53" s="529"/>
      <c r="X53" s="529"/>
      <c r="Y53" s="529"/>
      <c r="Z53" s="529"/>
    </row>
    <row r="54" ht="20.25" customHeight="1">
      <c r="A54" s="544">
        <v>14.0</v>
      </c>
      <c r="B54" s="545" t="s">
        <v>30</v>
      </c>
      <c r="C54" s="549"/>
      <c r="D54" s="552"/>
      <c r="E54" s="548">
        <f t="shared" si="12"/>
        <v>0</v>
      </c>
      <c r="F54" s="579">
        <v>0.0</v>
      </c>
      <c r="G54" s="579">
        <v>0.0</v>
      </c>
      <c r="H54" s="580">
        <f t="shared" si="13"/>
        <v>0</v>
      </c>
      <c r="I54" s="585"/>
      <c r="J54" s="586"/>
      <c r="K54" s="580"/>
      <c r="L54" s="587"/>
      <c r="M54" s="588"/>
      <c r="N54" s="580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</row>
    <row r="55" ht="20.25" customHeight="1">
      <c r="A55" s="544">
        <v>15.0</v>
      </c>
      <c r="B55" s="545" t="s">
        <v>31</v>
      </c>
      <c r="C55" s="549"/>
      <c r="D55" s="552"/>
      <c r="E55" s="548">
        <f t="shared" si="12"/>
        <v>0</v>
      </c>
      <c r="F55" s="579">
        <v>0.0</v>
      </c>
      <c r="G55" s="579">
        <v>0.0</v>
      </c>
      <c r="H55" s="580">
        <f t="shared" si="13"/>
        <v>0</v>
      </c>
      <c r="I55" s="585"/>
      <c r="J55" s="586"/>
      <c r="K55" s="580"/>
      <c r="L55" s="587"/>
      <c r="M55" s="588"/>
      <c r="N55" s="580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</row>
    <row r="56" ht="20.25" customHeight="1">
      <c r="A56" s="544">
        <v>16.0</v>
      </c>
      <c r="B56" s="545" t="s">
        <v>32</v>
      </c>
      <c r="C56" s="549"/>
      <c r="D56" s="552"/>
      <c r="E56" s="548">
        <f t="shared" si="12"/>
        <v>0</v>
      </c>
      <c r="F56" s="579">
        <v>0.0</v>
      </c>
      <c r="G56" s="579">
        <v>0.0</v>
      </c>
      <c r="H56" s="580">
        <f t="shared" si="13"/>
        <v>0</v>
      </c>
      <c r="I56" s="585"/>
      <c r="J56" s="586"/>
      <c r="K56" s="580"/>
      <c r="L56" s="587"/>
      <c r="M56" s="588"/>
      <c r="N56" s="580"/>
      <c r="O56" s="529"/>
      <c r="P56" s="529"/>
      <c r="Q56" s="529"/>
      <c r="R56" s="529"/>
      <c r="S56" s="529"/>
      <c r="T56" s="529"/>
      <c r="U56" s="529"/>
      <c r="V56" s="529"/>
      <c r="W56" s="529"/>
      <c r="X56" s="529"/>
      <c r="Y56" s="529"/>
      <c r="Z56" s="529"/>
    </row>
    <row r="57" ht="20.25" customHeight="1">
      <c r="A57" s="544">
        <v>17.0</v>
      </c>
      <c r="B57" s="545" t="s">
        <v>33</v>
      </c>
      <c r="C57" s="549"/>
      <c r="D57" s="552"/>
      <c r="E57" s="548">
        <f t="shared" si="12"/>
        <v>0</v>
      </c>
      <c r="F57" s="579">
        <v>0.0</v>
      </c>
      <c r="G57" s="579">
        <v>0.0</v>
      </c>
      <c r="H57" s="580">
        <f t="shared" si="13"/>
        <v>0</v>
      </c>
      <c r="I57" s="585"/>
      <c r="J57" s="586"/>
      <c r="K57" s="580"/>
      <c r="L57" s="587"/>
      <c r="M57" s="588"/>
      <c r="N57" s="580"/>
      <c r="O57" s="529"/>
      <c r="P57" s="529"/>
      <c r="Q57" s="529"/>
      <c r="R57" s="529"/>
      <c r="S57" s="529"/>
      <c r="T57" s="529"/>
      <c r="U57" s="529"/>
      <c r="V57" s="529"/>
      <c r="W57" s="529"/>
      <c r="X57" s="529"/>
      <c r="Y57" s="529"/>
      <c r="Z57" s="529"/>
    </row>
    <row r="58" ht="20.25" customHeight="1">
      <c r="A58" s="544">
        <v>18.0</v>
      </c>
      <c r="B58" s="545" t="s">
        <v>34</v>
      </c>
      <c r="C58" s="549"/>
      <c r="D58" s="552"/>
      <c r="E58" s="548">
        <f t="shared" si="12"/>
        <v>0</v>
      </c>
      <c r="F58" s="579">
        <v>0.0</v>
      </c>
      <c r="G58" s="579">
        <v>0.0</v>
      </c>
      <c r="H58" s="580">
        <f t="shared" si="13"/>
        <v>0</v>
      </c>
      <c r="I58" s="585"/>
      <c r="J58" s="586"/>
      <c r="K58" s="580"/>
      <c r="L58" s="587"/>
      <c r="M58" s="588"/>
      <c r="N58" s="580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</row>
    <row r="59" ht="20.25" customHeight="1">
      <c r="A59" s="544">
        <v>19.0</v>
      </c>
      <c r="B59" s="568" t="s">
        <v>35</v>
      </c>
      <c r="C59" s="549"/>
      <c r="D59" s="552"/>
      <c r="E59" s="548">
        <f t="shared" si="12"/>
        <v>0</v>
      </c>
      <c r="F59" s="579">
        <v>0.0</v>
      </c>
      <c r="G59" s="579">
        <v>0.0</v>
      </c>
      <c r="H59" s="580">
        <f t="shared" si="13"/>
        <v>0</v>
      </c>
      <c r="I59" s="585"/>
      <c r="J59" s="586"/>
      <c r="K59" s="580"/>
      <c r="L59" s="587"/>
      <c r="M59" s="588"/>
      <c r="N59" s="580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</row>
    <row r="60" ht="20.25" customHeight="1">
      <c r="A60" s="538" t="s">
        <v>36</v>
      </c>
      <c r="B60" s="21"/>
      <c r="C60" s="570">
        <f t="shared" ref="C60:N60" si="14">SUM(C41:C59)</f>
        <v>0</v>
      </c>
      <c r="D60" s="570">
        <f t="shared" si="14"/>
        <v>0</v>
      </c>
      <c r="E60" s="571">
        <f t="shared" si="14"/>
        <v>0</v>
      </c>
      <c r="F60" s="572">
        <f t="shared" si="14"/>
        <v>0</v>
      </c>
      <c r="G60" s="572">
        <f t="shared" si="14"/>
        <v>0</v>
      </c>
      <c r="H60" s="589">
        <f t="shared" si="14"/>
        <v>0</v>
      </c>
      <c r="I60" s="572">
        <f t="shared" si="14"/>
        <v>0</v>
      </c>
      <c r="J60" s="572">
        <f t="shared" si="14"/>
        <v>0</v>
      </c>
      <c r="K60" s="590">
        <f t="shared" si="14"/>
        <v>0</v>
      </c>
      <c r="L60" s="572">
        <f t="shared" si="14"/>
        <v>0</v>
      </c>
      <c r="M60" s="572">
        <f t="shared" si="14"/>
        <v>0</v>
      </c>
      <c r="N60" s="591">
        <f t="shared" si="14"/>
        <v>0</v>
      </c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</row>
    <row r="61" ht="20.25" customHeight="1">
      <c r="A61" s="529"/>
      <c r="B61" s="529"/>
      <c r="C61" s="529"/>
      <c r="D61" s="529"/>
      <c r="E61" s="576"/>
      <c r="F61" s="529"/>
      <c r="G61" s="529"/>
      <c r="H61" s="576"/>
      <c r="I61" s="529"/>
      <c r="J61" s="529"/>
      <c r="K61" s="576"/>
      <c r="L61" s="529"/>
      <c r="M61" s="529"/>
      <c r="N61" s="576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</row>
    <row r="62" ht="20.25" customHeight="1">
      <c r="A62" s="529"/>
      <c r="B62" s="529"/>
      <c r="C62" s="529"/>
      <c r="D62" s="529"/>
      <c r="E62" s="576"/>
      <c r="F62" s="529"/>
      <c r="G62" s="529"/>
      <c r="H62" s="576"/>
      <c r="I62" s="529"/>
      <c r="J62" s="529"/>
      <c r="K62" s="576"/>
      <c r="L62" s="529"/>
      <c r="M62" s="529"/>
      <c r="N62" s="576"/>
      <c r="O62" s="529"/>
      <c r="P62" s="529"/>
      <c r="Q62" s="529"/>
      <c r="R62" s="529"/>
      <c r="S62" s="529"/>
      <c r="T62" s="529"/>
      <c r="U62" s="529"/>
      <c r="V62" s="529"/>
      <c r="W62" s="529"/>
      <c r="X62" s="529"/>
      <c r="Y62" s="529"/>
      <c r="Z62" s="529"/>
    </row>
  </sheetData>
  <mergeCells count="45">
    <mergeCell ref="I36:K37"/>
    <mergeCell ref="L36:N37"/>
    <mergeCell ref="I38:K38"/>
    <mergeCell ref="L38:N38"/>
    <mergeCell ref="A40:B40"/>
    <mergeCell ref="C40:E40"/>
    <mergeCell ref="F40:H40"/>
    <mergeCell ref="I40:K40"/>
    <mergeCell ref="L40:N40"/>
    <mergeCell ref="A60:B60"/>
    <mergeCell ref="A27:B27"/>
    <mergeCell ref="A34:N34"/>
    <mergeCell ref="A35:N35"/>
    <mergeCell ref="A36:A39"/>
    <mergeCell ref="B36:B39"/>
    <mergeCell ref="C36:E37"/>
    <mergeCell ref="F36:H37"/>
    <mergeCell ref="F3:H4"/>
    <mergeCell ref="I3:K4"/>
    <mergeCell ref="L3:N4"/>
    <mergeCell ref="P3:P6"/>
    <mergeCell ref="L5:N5"/>
    <mergeCell ref="L7:N7"/>
    <mergeCell ref="P7:Q7"/>
    <mergeCell ref="R7:T7"/>
    <mergeCell ref="P2:U2"/>
    <mergeCell ref="R3:U4"/>
    <mergeCell ref="I5:K5"/>
    <mergeCell ref="R5:U5"/>
    <mergeCell ref="A1:N1"/>
    <mergeCell ref="P1:U1"/>
    <mergeCell ref="A2:N2"/>
    <mergeCell ref="A3:A6"/>
    <mergeCell ref="B3:B6"/>
    <mergeCell ref="C3:E4"/>
    <mergeCell ref="Q3:Q6"/>
    <mergeCell ref="C5:E5"/>
    <mergeCell ref="F5:H5"/>
    <mergeCell ref="A7:B7"/>
    <mergeCell ref="C7:E7"/>
    <mergeCell ref="F7:H7"/>
    <mergeCell ref="I7:K7"/>
    <mergeCell ref="P27:Q27"/>
    <mergeCell ref="C38:E38"/>
    <mergeCell ref="F38:H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2023-02-12T03:33:25Z</dcterms:created>
  <dc:creator>Admin</dc:creator>
</cp:coreProperties>
</file>